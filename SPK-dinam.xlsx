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C:\Users\KuznetsovIS.SMK\Desktop\"/>
    </mc:Choice>
  </mc:AlternateContent>
  <xr:revisionPtr revIDLastSave="0" documentId="13_ncr:1_{D11BE4EA-A09E-430C-8B59-5211199CC7A3}" xr6:coauthVersionLast="47" xr6:coauthVersionMax="47" xr10:uidLastSave="{00000000-0000-0000-0000-000000000000}"/>
  <bookViews>
    <workbookView xWindow="-120" yWindow="-120" windowWidth="29040" windowHeight="15840" xr2:uid="{3C3BB85D-F591-4260-8C7B-839469A8C452}"/>
  </bookViews>
  <sheets>
    <sheet name="СПК по дням" sheetId="2" r:id="rId1"/>
    <sheet name="СПК по КН" sheetId="5" r:id="rId2"/>
    <sheet name="СПК по месяцам" sheetId="6" r:id="rId3"/>
  </sheets>
  <definedNames>
    <definedName name="_xlnm._FilterDatabase" localSheetId="0" hidden="1">'СПК по дням'!$A$2:$F$32</definedName>
    <definedName name="_xlnm._FilterDatabase" localSheetId="1" hidden="1">'СПК по КН'!$A$2:$DJ$2</definedName>
    <definedName name="_xlnm._FilterDatabase" localSheetId="2" hidden="1">'СПК по месяцам'!$A$2:$K$32</definedName>
  </definedName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1" i="6" l="1"/>
  <c r="I30" i="6"/>
  <c r="I28" i="6"/>
  <c r="I27" i="6"/>
  <c r="I24" i="6"/>
  <c r="I23" i="6"/>
  <c r="I21" i="6"/>
  <c r="I20" i="6"/>
  <c r="I18" i="6"/>
  <c r="I17" i="6"/>
  <c r="I14" i="6"/>
  <c r="I13" i="6"/>
  <c r="I11" i="6"/>
  <c r="I10" i="6"/>
  <c r="I8" i="6"/>
  <c r="I7" i="6"/>
  <c r="I9" i="6" s="1"/>
  <c r="I4" i="6"/>
  <c r="I3" i="6"/>
  <c r="I31" i="5"/>
  <c r="I30" i="5"/>
  <c r="I28" i="5"/>
  <c r="I27" i="5"/>
  <c r="I24" i="5"/>
  <c r="I23" i="5"/>
  <c r="I21" i="5"/>
  <c r="I20" i="5"/>
  <c r="I18" i="5"/>
  <c r="I17" i="5"/>
  <c r="I14" i="5"/>
  <c r="I19" i="5" s="1"/>
  <c r="I13" i="5"/>
  <c r="I11" i="5"/>
  <c r="I10" i="5"/>
  <c r="I8" i="5"/>
  <c r="I7" i="5"/>
  <c r="I4" i="5"/>
  <c r="I3" i="5"/>
  <c r="I31" i="2"/>
  <c r="I30" i="2"/>
  <c r="I28" i="2"/>
  <c r="I27" i="2"/>
  <c r="I24" i="2"/>
  <c r="I23" i="2"/>
  <c r="I21" i="2"/>
  <c r="I20" i="2"/>
  <c r="I18" i="2"/>
  <c r="I17" i="2"/>
  <c r="I14" i="2"/>
  <c r="I13" i="2"/>
  <c r="I11" i="2"/>
  <c r="I10" i="2"/>
  <c r="I8" i="2"/>
  <c r="I7" i="2"/>
  <c r="I4" i="2"/>
  <c r="I3" i="2"/>
  <c r="K32" i="6"/>
  <c r="K29" i="6"/>
  <c r="K22" i="6"/>
  <c r="K19" i="6"/>
  <c r="K12" i="6"/>
  <c r="K9" i="6"/>
  <c r="K32" i="5"/>
  <c r="K29" i="5"/>
  <c r="K22" i="5"/>
  <c r="K19" i="5"/>
  <c r="K12" i="5"/>
  <c r="K9" i="5"/>
  <c r="W32" i="2"/>
  <c r="V32" i="2"/>
  <c r="U32" i="2"/>
  <c r="T32" i="2"/>
  <c r="S32" i="2"/>
  <c r="R32" i="2"/>
  <c r="Q32" i="2"/>
  <c r="W29" i="2"/>
  <c r="V29" i="2"/>
  <c r="U29" i="2"/>
  <c r="T29" i="2"/>
  <c r="S29" i="2"/>
  <c r="R29" i="2"/>
  <c r="Q29" i="2"/>
  <c r="W22" i="2"/>
  <c r="V22" i="2"/>
  <c r="U22" i="2"/>
  <c r="T22" i="2"/>
  <c r="S22" i="2"/>
  <c r="R22" i="2"/>
  <c r="Q22" i="2"/>
  <c r="W19" i="2"/>
  <c r="V19" i="2"/>
  <c r="U19" i="2"/>
  <c r="T19" i="2"/>
  <c r="S19" i="2"/>
  <c r="R19" i="2"/>
  <c r="Q19" i="2"/>
  <c r="W12" i="2"/>
  <c r="V12" i="2"/>
  <c r="U12" i="2"/>
  <c r="T12" i="2"/>
  <c r="S12" i="2"/>
  <c r="R12" i="2"/>
  <c r="Q12" i="2"/>
  <c r="W9" i="2"/>
  <c r="V9" i="2"/>
  <c r="U9" i="2"/>
  <c r="T9" i="2"/>
  <c r="S9" i="2"/>
  <c r="R9" i="2"/>
  <c r="Q9" i="2"/>
  <c r="J19" i="6"/>
  <c r="J9" i="6"/>
  <c r="J29" i="2"/>
  <c r="I22" i="6" l="1"/>
  <c r="I12" i="6"/>
  <c r="I32" i="6"/>
  <c r="I12" i="5"/>
  <c r="I32" i="5"/>
  <c r="I19" i="6"/>
  <c r="I29" i="6"/>
  <c r="I22" i="5"/>
  <c r="I9" i="5"/>
  <c r="I29" i="5"/>
  <c r="I29" i="2"/>
  <c r="I19" i="2"/>
  <c r="I9" i="2"/>
  <c r="P22" i="2"/>
  <c r="O22" i="2"/>
  <c r="N22" i="2"/>
  <c r="M22" i="2"/>
  <c r="L22" i="2"/>
  <c r="K22" i="2"/>
  <c r="J22" i="2"/>
  <c r="P19" i="2"/>
  <c r="O19" i="2"/>
  <c r="N19" i="2"/>
  <c r="M19" i="2"/>
  <c r="L19" i="2"/>
  <c r="K19" i="2"/>
  <c r="J19" i="2"/>
  <c r="P12" i="2"/>
  <c r="O12" i="2"/>
  <c r="N12" i="2"/>
  <c r="M12" i="2"/>
  <c r="L12" i="2"/>
  <c r="K12" i="2"/>
  <c r="J12" i="2"/>
  <c r="P9" i="2"/>
  <c r="O9" i="2"/>
  <c r="N9" i="2"/>
  <c r="M9" i="2"/>
  <c r="L9" i="2"/>
  <c r="K9" i="2"/>
  <c r="J9" i="2"/>
  <c r="N29" i="2" l="1"/>
  <c r="P29" i="2"/>
  <c r="I22" i="2"/>
  <c r="I12" i="2"/>
  <c r="L29" i="2"/>
  <c r="L32" i="2"/>
  <c r="M29" i="2"/>
  <c r="M32" i="2"/>
  <c r="O29" i="2"/>
  <c r="O32" i="2"/>
  <c r="J32" i="2"/>
  <c r="K32" i="2"/>
  <c r="K29" i="2"/>
  <c r="N32" i="2"/>
  <c r="P32" i="2"/>
  <c r="I32" i="2" l="1"/>
  <c r="J32" i="5" l="1"/>
  <c r="J29" i="5"/>
  <c r="J22" i="5" l="1"/>
  <c r="J12" i="5"/>
  <c r="J19" i="5"/>
  <c r="J22" i="6" l="1"/>
  <c r="J32" i="6"/>
  <c r="J12" i="6"/>
  <c r="J29" i="6"/>
  <c r="J9" i="5" l="1"/>
</calcChain>
</file>

<file path=xl/sharedStrings.xml><?xml version="1.0" encoding="utf-8"?>
<sst xmlns="http://schemas.openxmlformats.org/spreadsheetml/2006/main" count="234" uniqueCount="30">
  <si>
    <t>Участок</t>
  </si>
  <si>
    <t>Проконтролировано</t>
  </si>
  <si>
    <t>Отставание ЛНК</t>
  </si>
  <si>
    <t>Сварено</t>
  </si>
  <si>
    <t>Допустимый уровень брака:</t>
  </si>
  <si>
    <t>%</t>
  </si>
  <si>
    <t>стык</t>
  </si>
  <si>
    <t>Остаток ремонтов</t>
  </si>
  <si>
    <t>Уровень брака НЕОФ</t>
  </si>
  <si>
    <t>Уровень брака ОФ</t>
  </si>
  <si>
    <t>Статистика накопительно с начала строительства:</t>
  </si>
  <si>
    <t>По цеху</t>
  </si>
  <si>
    <t>На монтаже</t>
  </si>
  <si>
    <t>Общая по проекту</t>
  </si>
  <si>
    <t>Объект</t>
  </si>
  <si>
    <t>Подрядчик</t>
  </si>
  <si>
    <t>п.п</t>
  </si>
  <si>
    <t>КН1</t>
  </si>
  <si>
    <r>
      <t xml:space="preserve">Справка по качеству сварки технологических трубопроводов, 
выполняемых на всех проектах строительства - </t>
    </r>
    <r>
      <rPr>
        <b/>
        <i/>
        <sz val="14"/>
        <color theme="4"/>
        <rFont val="Verdana"/>
        <family val="2"/>
        <charset val="204"/>
      </rPr>
      <t>По дням</t>
    </r>
    <r>
      <rPr>
        <i/>
        <sz val="14"/>
        <color theme="1"/>
        <rFont val="Verdana"/>
        <family val="2"/>
        <charset val="204"/>
      </rPr>
      <t xml:space="preserve">
</t>
    </r>
  </si>
  <si>
    <t>Вырез НЕОФ</t>
  </si>
  <si>
    <t>Ремонт НЕОФ</t>
  </si>
  <si>
    <t>Вырез ОФ</t>
  </si>
  <si>
    <t>Ремонт ОФ</t>
  </si>
  <si>
    <r>
      <t xml:space="preserve">Справка по качеству сварки технологических трубопроводов, 
выполняемых на всех проектах строительства - </t>
    </r>
    <r>
      <rPr>
        <b/>
        <i/>
        <sz val="14"/>
        <rFont val="Verdana"/>
        <family val="2"/>
        <charset val="204"/>
      </rPr>
      <t>По месяцам</t>
    </r>
    <r>
      <rPr>
        <i/>
        <sz val="14"/>
        <rFont val="Verdana"/>
        <family val="2"/>
        <charset val="204"/>
      </rPr>
      <t xml:space="preserve">
</t>
    </r>
  </si>
  <si>
    <r>
      <t xml:space="preserve">Справка по качеству сварки технологических трубопроводов, 
выполняемых на всех проектах строительства - </t>
    </r>
    <r>
      <rPr>
        <b/>
        <i/>
        <sz val="14"/>
        <rFont val="Verdana"/>
        <family val="2"/>
        <charset val="204"/>
      </rPr>
      <t>По календарным неделям</t>
    </r>
    <r>
      <rPr>
        <i/>
        <sz val="14"/>
        <rFont val="Verdana"/>
        <family val="2"/>
        <charset val="204"/>
      </rPr>
      <t xml:space="preserve">
</t>
    </r>
  </si>
  <si>
    <t>-</t>
  </si>
  <si>
    <t>КН 2025</t>
  </si>
  <si>
    <t>Январь</t>
  </si>
  <si>
    <t>КН2</t>
  </si>
  <si>
    <t>Февраль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</si>
</sst>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9]mmmm\ yyyy;@"/>
  </numFmts>
  <fonts count="26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charset val="204"/>
      <scheme val="minor"/>
    </font>
    <font>
      <sz val="12"/>
      <color theme="1"/>
      <name val="Verdana"/>
      <family val="2"/>
      <charset val="204"/>
    </font>
    <font>
      <sz val="14"/>
      <color theme="1"/>
      <name val="Verdana"/>
      <family val="2"/>
      <charset val="204"/>
    </font>
    <font>
      <b/>
      <sz val="12"/>
      <color theme="1"/>
      <name val="Verdana"/>
      <family val="2"/>
      <charset val="204"/>
    </font>
    <font>
      <i/>
      <sz val="14"/>
      <color theme="1"/>
      <name val="Verdana"/>
      <family val="2"/>
      <charset val="204"/>
    </font>
    <font>
      <sz val="11"/>
      <color theme="1"/>
      <name val="Verdana"/>
      <family val="2"/>
      <charset val="204"/>
    </font>
    <font>
      <sz val="11"/>
      <color rgb="FFFF0000"/>
      <name val="Verdana"/>
      <family val="2"/>
      <charset val="204"/>
    </font>
    <font>
      <sz val="11"/>
      <color theme="4"/>
      <name val="Verdana"/>
      <family val="2"/>
      <charset val="204"/>
    </font>
    <font>
      <b/>
      <i/>
      <sz val="14"/>
      <color theme="4"/>
      <name val="Verdana"/>
      <family val="2"/>
      <charset val="204"/>
    </font>
    <font>
      <b/>
      <sz val="10"/>
      <name val="Verdana"/>
      <family val="2"/>
      <charset val="204"/>
    </font>
    <font>
      <sz val="12"/>
      <name val="Verdana"/>
      <family val="2"/>
      <charset val="204"/>
    </font>
    <font>
      <i/>
      <sz val="14"/>
      <name val="Verdana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1"/>
      <color rgb="FFFF0000"/>
      <name val="Verdana"/>
      <family val="2"/>
      <charset val="204"/>
    </font>
    <font>
      <sz val="11"/>
      <color rgb="FFFF0000"/>
      <name val="Calibri"/>
      <family val="2"/>
      <charset val="204"/>
      <scheme val="minor"/>
    </font>
    <font>
      <sz val="11"/>
      <color rgb="FF00B050"/>
      <name val="Verdana"/>
      <family val="2"/>
      <charset val="204"/>
    </font>
    <font>
      <sz val="11"/>
      <color rgb="FF00B050"/>
      <name val="Calibri"/>
      <family val="2"/>
      <charset val="204"/>
      <scheme val="minor"/>
    </font>
    <font>
      <b/>
      <sz val="8"/>
      <name val="Verdana"/>
      <family val="2"/>
      <charset val="204"/>
    </font>
    <font>
      <sz val="11"/>
      <name val="Verdana"/>
      <family val="2"/>
      <charset val="204"/>
    </font>
    <font>
      <b/>
      <i/>
      <sz val="14"/>
      <name val="Verdana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CC"/>
        <bgColor indexed="64"/>
      </patternFill>
    </fill>
  </fills>
  <borders count="3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 diagonalUp="1">
      <left style="medium">
        <color indexed="64"/>
      </left>
      <right style="thin">
        <color auto="1"/>
      </right>
      <top style="medium">
        <color indexed="64"/>
      </top>
      <bottom style="dotted">
        <color indexed="64"/>
      </bottom>
      <diagonal style="dotted">
        <color indexed="64"/>
      </diagonal>
    </border>
    <border diagonalUp="1">
      <left style="medium">
        <color indexed="64"/>
      </left>
      <right style="thin">
        <color auto="1"/>
      </right>
      <top style="dotted">
        <color indexed="64"/>
      </top>
      <bottom style="dotted">
        <color indexed="64"/>
      </bottom>
      <diagonal style="dotted">
        <color indexed="64"/>
      </diagonal>
    </border>
    <border diagonalUp="1">
      <left style="medium">
        <color indexed="64"/>
      </left>
      <right style="thin">
        <color auto="1"/>
      </right>
      <top style="dotted">
        <color indexed="64"/>
      </top>
      <bottom style="medium">
        <color indexed="64"/>
      </bottom>
      <diagonal style="dotted">
        <color indexed="64"/>
      </diagonal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 style="medium">
        <color indexed="64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dotted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dotted">
        <color auto="1"/>
      </bottom>
      <diagonal/>
    </border>
    <border>
      <left style="medium">
        <color indexed="64"/>
      </left>
      <right style="medium">
        <color indexed="64"/>
      </right>
      <top style="dotted">
        <color auto="1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3" fillId="0" borderId="0" applyFont="0" applyFill="0" applyBorder="0" applyAlignment="0" applyProtection="0"/>
    <xf numFmtId="0" fontId="1" fillId="0" borderId="0"/>
  </cellStyleXfs>
  <cellXfs count="90">
    <xf numFmtId="0" fontId="0" fillId="0" borderId="0" xfId="0"/>
    <xf numFmtId="0" fontId="5" fillId="0" borderId="0" xfId="2" applyFont="1" applyAlignment="1">
      <alignment horizontal="center" vertical="center"/>
    </xf>
    <xf numFmtId="0" fontId="5" fillId="0" borderId="0" xfId="2" applyFont="1" applyAlignment="1">
      <alignment horizontal="left" vertical="center"/>
    </xf>
    <xf numFmtId="0" fontId="6" fillId="2" borderId="12" xfId="2" applyFont="1" applyFill="1" applyBorder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9" fillId="0" borderId="9" xfId="2" applyFont="1" applyBorder="1" applyAlignment="1">
      <alignment horizontal="center" vertical="center"/>
    </xf>
    <xf numFmtId="0" fontId="9" fillId="0" borderId="10" xfId="2" applyFont="1" applyBorder="1" applyAlignment="1">
      <alignment horizontal="center" vertical="center"/>
    </xf>
    <xf numFmtId="0" fontId="9" fillId="0" borderId="15" xfId="2" applyFont="1" applyBorder="1" applyAlignment="1">
      <alignment horizontal="center" vertical="center"/>
    </xf>
    <xf numFmtId="0" fontId="1" fillId="0" borderId="0" xfId="0" applyFont="1"/>
    <xf numFmtId="0" fontId="9" fillId="0" borderId="16" xfId="2" applyFont="1" applyBorder="1" applyAlignment="1">
      <alignment horizontal="center" vertical="center"/>
    </xf>
    <xf numFmtId="9" fontId="10" fillId="0" borderId="16" xfId="7" applyFont="1" applyBorder="1" applyAlignment="1">
      <alignment horizontal="center" vertical="center"/>
    </xf>
    <xf numFmtId="0" fontId="16" fillId="0" borderId="0" xfId="0" applyFont="1"/>
    <xf numFmtId="3" fontId="9" fillId="0" borderId="13" xfId="2" applyNumberFormat="1" applyFont="1" applyBorder="1" applyAlignment="1">
      <alignment horizontal="center" vertical="center"/>
    </xf>
    <xf numFmtId="3" fontId="9" fillId="0" borderId="6" xfId="2" applyNumberFormat="1" applyFont="1" applyBorder="1" applyAlignment="1">
      <alignment horizontal="center" vertical="center"/>
    </xf>
    <xf numFmtId="3" fontId="9" fillId="0" borderId="14" xfId="2" applyNumberFormat="1" applyFont="1" applyBorder="1" applyAlignment="1">
      <alignment horizontal="center" vertical="center"/>
    </xf>
    <xf numFmtId="3" fontId="9" fillId="0" borderId="7" xfId="2" applyNumberFormat="1" applyFont="1" applyBorder="1" applyAlignment="1">
      <alignment horizontal="center" vertical="center"/>
    </xf>
    <xf numFmtId="3" fontId="9" fillId="0" borderId="21" xfId="2" applyNumberFormat="1" applyFont="1" applyBorder="1" applyAlignment="1">
      <alignment horizontal="center" vertical="center"/>
    </xf>
    <xf numFmtId="3" fontId="9" fillId="0" borderId="22" xfId="2" applyNumberFormat="1" applyFont="1" applyBorder="1" applyAlignment="1">
      <alignment horizontal="center" vertical="center"/>
    </xf>
    <xf numFmtId="3" fontId="9" fillId="0" borderId="24" xfId="2" applyNumberFormat="1" applyFont="1" applyBorder="1" applyAlignment="1">
      <alignment horizontal="center" vertical="center"/>
    </xf>
    <xf numFmtId="3" fontId="9" fillId="0" borderId="25" xfId="2" applyNumberFormat="1" applyFont="1" applyBorder="1" applyAlignment="1">
      <alignment horizontal="center" vertical="center"/>
    </xf>
    <xf numFmtId="9" fontId="10" fillId="0" borderId="10" xfId="7" applyFont="1" applyFill="1" applyBorder="1" applyAlignment="1">
      <alignment horizontal="center" vertical="center"/>
    </xf>
    <xf numFmtId="9" fontId="10" fillId="0" borderId="16" xfId="7" applyFont="1" applyFill="1" applyBorder="1" applyAlignment="1">
      <alignment horizontal="center" vertical="center"/>
    </xf>
    <xf numFmtId="9" fontId="10" fillId="0" borderId="7" xfId="1" applyFont="1" applyFill="1" applyBorder="1" applyAlignment="1">
      <alignment horizontal="center" vertical="center"/>
    </xf>
    <xf numFmtId="9" fontId="10" fillId="0" borderId="22" xfId="1" applyFont="1" applyFill="1" applyBorder="1" applyAlignment="1">
      <alignment horizontal="center" vertical="center"/>
    </xf>
    <xf numFmtId="9" fontId="10" fillId="0" borderId="25" xfId="1" applyFont="1" applyFill="1" applyBorder="1" applyAlignment="1">
      <alignment horizontal="center" vertical="center"/>
    </xf>
    <xf numFmtId="0" fontId="6" fillId="2" borderId="28" xfId="2" applyFont="1" applyFill="1" applyBorder="1" applyAlignment="1">
      <alignment horizontal="center" vertical="center"/>
    </xf>
    <xf numFmtId="3" fontId="5" fillId="0" borderId="0" xfId="2" applyNumberFormat="1" applyFont="1" applyAlignment="1">
      <alignment horizontal="center" vertical="center"/>
    </xf>
    <xf numFmtId="3" fontId="11" fillId="0" borderId="21" xfId="2" applyNumberFormat="1" applyFont="1" applyBorder="1" applyAlignment="1">
      <alignment horizontal="center" vertical="center"/>
    </xf>
    <xf numFmtId="3" fontId="11" fillId="0" borderId="22" xfId="2" applyNumberFormat="1" applyFont="1" applyBorder="1" applyAlignment="1">
      <alignment horizontal="center" vertical="center"/>
    </xf>
    <xf numFmtId="3" fontId="9" fillId="0" borderId="29" xfId="2" applyNumberFormat="1" applyFont="1" applyBorder="1" applyAlignment="1">
      <alignment horizontal="center" vertical="center"/>
    </xf>
    <xf numFmtId="3" fontId="9" fillId="0" borderId="30" xfId="2" applyNumberFormat="1" applyFont="1" applyBorder="1" applyAlignment="1">
      <alignment horizontal="center" vertical="center"/>
    </xf>
    <xf numFmtId="9" fontId="10" fillId="0" borderId="30" xfId="1" applyFont="1" applyFill="1" applyBorder="1" applyAlignment="1">
      <alignment horizontal="center" vertical="center"/>
    </xf>
    <xf numFmtId="3" fontId="9" fillId="0" borderId="9" xfId="2" applyNumberFormat="1" applyFont="1" applyBorder="1" applyAlignment="1">
      <alignment horizontal="center" vertical="center"/>
    </xf>
    <xf numFmtId="3" fontId="9" fillId="0" borderId="10" xfId="2" applyNumberFormat="1" applyFont="1" applyBorder="1" applyAlignment="1">
      <alignment horizontal="center" vertical="center"/>
    </xf>
    <xf numFmtId="9" fontId="19" fillId="0" borderId="22" xfId="1" applyFont="1" applyFill="1" applyBorder="1" applyAlignment="1">
      <alignment horizontal="center" vertical="center"/>
    </xf>
    <xf numFmtId="9" fontId="21" fillId="0" borderId="11" xfId="7" applyFont="1" applyFill="1" applyBorder="1" applyAlignment="1">
      <alignment horizontal="center" vertical="center"/>
    </xf>
    <xf numFmtId="9" fontId="21" fillId="0" borderId="17" xfId="7" applyFont="1" applyFill="1" applyBorder="1" applyAlignment="1">
      <alignment horizontal="center" vertical="center"/>
    </xf>
    <xf numFmtId="9" fontId="21" fillId="0" borderId="23" xfId="1" applyFont="1" applyFill="1" applyBorder="1" applyAlignment="1">
      <alignment horizontal="center" vertical="center"/>
    </xf>
    <xf numFmtId="9" fontId="21" fillId="0" borderId="27" xfId="1" applyFont="1" applyFill="1" applyBorder="1" applyAlignment="1">
      <alignment horizontal="center" vertical="center"/>
    </xf>
    <xf numFmtId="9" fontId="21" fillId="0" borderId="26" xfId="1" applyFont="1" applyFill="1" applyBorder="1" applyAlignment="1">
      <alignment horizontal="center" vertical="center"/>
    </xf>
    <xf numFmtId="9" fontId="21" fillId="0" borderId="8" xfId="1" applyFont="1" applyFill="1" applyBorder="1" applyAlignment="1">
      <alignment horizontal="center" vertical="center"/>
    </xf>
    <xf numFmtId="0" fontId="22" fillId="0" borderId="0" xfId="0" applyFont="1"/>
    <xf numFmtId="0" fontId="14" fillId="0" borderId="0" xfId="2" applyFont="1" applyAlignment="1">
      <alignment horizontal="center" vertical="center"/>
    </xf>
    <xf numFmtId="9" fontId="21" fillId="0" borderId="17" xfId="7" applyFont="1" applyBorder="1" applyAlignment="1">
      <alignment horizontal="center" vertical="center"/>
    </xf>
    <xf numFmtId="0" fontId="20" fillId="0" borderId="0" xfId="0" applyFont="1"/>
    <xf numFmtId="0" fontId="9" fillId="3" borderId="16" xfId="2" applyFont="1" applyFill="1" applyBorder="1" applyAlignment="1">
      <alignment horizontal="center" vertical="center"/>
    </xf>
    <xf numFmtId="0" fontId="1" fillId="3" borderId="0" xfId="0" applyFont="1" applyFill="1"/>
    <xf numFmtId="14" fontId="2" fillId="0" borderId="2" xfId="2" applyNumberFormat="1" applyFont="1" applyBorder="1" applyAlignment="1">
      <alignment horizontal="center" vertical="center" wrapText="1"/>
    </xf>
    <xf numFmtId="14" fontId="2" fillId="0" borderId="4" xfId="2" applyNumberFormat="1" applyFont="1" applyBorder="1" applyAlignment="1">
      <alignment horizontal="center" vertical="center" wrapText="1"/>
    </xf>
    <xf numFmtId="14" fontId="2" fillId="0" borderId="3" xfId="2" applyNumberFormat="1" applyFont="1" applyBorder="1" applyAlignment="1">
      <alignment horizontal="center" vertical="center" wrapText="1"/>
    </xf>
    <xf numFmtId="0" fontId="4" fillId="0" borderId="31" xfId="2" applyFont="1" applyBorder="1" applyAlignment="1">
      <alignment horizontal="center" vertical="center" wrapText="1"/>
    </xf>
    <xf numFmtId="0" fontId="7" fillId="2" borderId="31" xfId="2" applyFont="1" applyFill="1" applyBorder="1" applyAlignment="1">
      <alignment horizontal="center" vertical="center"/>
    </xf>
    <xf numFmtId="3" fontId="9" fillId="0" borderId="35" xfId="2" applyNumberFormat="1" applyFont="1" applyBorder="1" applyAlignment="1">
      <alignment horizontal="center" vertical="center"/>
    </xf>
    <xf numFmtId="3" fontId="9" fillId="0" borderId="36" xfId="2" applyNumberFormat="1" applyFont="1" applyBorder="1" applyAlignment="1">
      <alignment horizontal="center" vertical="center"/>
    </xf>
    <xf numFmtId="9" fontId="10" fillId="0" borderId="36" xfId="1" applyFont="1" applyFill="1" applyBorder="1" applyAlignment="1">
      <alignment horizontal="center" vertical="center"/>
    </xf>
    <xf numFmtId="3" fontId="9" fillId="3" borderId="36" xfId="2" applyNumberFormat="1" applyFont="1" applyFill="1" applyBorder="1" applyAlignment="1">
      <alignment horizontal="center" vertical="center"/>
    </xf>
    <xf numFmtId="9" fontId="21" fillId="0" borderId="37" xfId="1" applyFont="1" applyFill="1" applyBorder="1" applyAlignment="1">
      <alignment horizontal="center" vertical="center"/>
    </xf>
    <xf numFmtId="164" fontId="2" fillId="0" borderId="31" xfId="2" applyNumberFormat="1" applyFont="1" applyBorder="1" applyAlignment="1">
      <alignment horizontal="center" vertical="center" wrapText="1"/>
    </xf>
    <xf numFmtId="0" fontId="6" fillId="2" borderId="31" xfId="2" applyFont="1" applyFill="1" applyBorder="1" applyAlignment="1">
      <alignment horizontal="center" vertical="center"/>
    </xf>
    <xf numFmtId="9" fontId="10" fillId="0" borderId="36" xfId="7" applyFont="1" applyBorder="1" applyAlignment="1">
      <alignment horizontal="center" vertical="center"/>
    </xf>
    <xf numFmtId="9" fontId="21" fillId="0" borderId="37" xfId="7" applyFont="1" applyBorder="1" applyAlignment="1">
      <alignment horizontal="center" vertical="center"/>
    </xf>
    <xf numFmtId="0" fontId="23" fillId="2" borderId="31" xfId="2" applyFont="1" applyFill="1" applyBorder="1" applyAlignment="1">
      <alignment horizontal="center" vertical="center" wrapText="1"/>
    </xf>
    <xf numFmtId="0" fontId="7" fillId="2" borderId="12" xfId="2" applyFont="1" applyFill="1" applyBorder="1" applyAlignment="1">
      <alignment horizontal="left" vertical="center"/>
    </xf>
    <xf numFmtId="0" fontId="23" fillId="2" borderId="31" xfId="2" applyFont="1" applyFill="1" applyBorder="1" applyAlignment="1">
      <alignment horizontal="center" vertical="top" wrapText="1"/>
    </xf>
    <xf numFmtId="0" fontId="9" fillId="0" borderId="24" xfId="4" applyFont="1" applyBorder="1" applyAlignment="1">
      <alignment horizontal="left" vertical="center" wrapText="1"/>
    </xf>
    <xf numFmtId="0" fontId="9" fillId="0" borderId="25" xfId="4" applyFont="1" applyBorder="1" applyAlignment="1">
      <alignment horizontal="left" vertical="center" wrapText="1"/>
    </xf>
    <xf numFmtId="9" fontId="10" fillId="0" borderId="25" xfId="7" applyFont="1" applyFill="1" applyBorder="1" applyAlignment="1">
      <alignment horizontal="left" vertical="center" wrapText="1"/>
    </xf>
    <xf numFmtId="9" fontId="21" fillId="0" borderId="26" xfId="7" applyFont="1" applyFill="1" applyBorder="1" applyAlignment="1">
      <alignment horizontal="left" vertical="center" wrapText="1"/>
    </xf>
    <xf numFmtId="0" fontId="7" fillId="2" borderId="28" xfId="2" applyFont="1" applyFill="1" applyBorder="1" applyAlignment="1">
      <alignment horizontal="left" vertical="center"/>
    </xf>
    <xf numFmtId="0" fontId="18" fillId="2" borderId="28" xfId="2" applyFont="1" applyFill="1" applyBorder="1" applyAlignment="1">
      <alignment horizontal="center" vertical="center"/>
    </xf>
    <xf numFmtId="0" fontId="18" fillId="2" borderId="12" xfId="2" applyFont="1" applyFill="1" applyBorder="1" applyAlignment="1">
      <alignment horizontal="center" vertical="center"/>
    </xf>
    <xf numFmtId="0" fontId="18" fillId="2" borderId="1" xfId="2" applyFont="1" applyFill="1" applyBorder="1" applyAlignment="1">
      <alignment horizontal="center" vertical="center"/>
    </xf>
    <xf numFmtId="0" fontId="13" fillId="0" borderId="2" xfId="2" applyFont="1" applyBorder="1" applyAlignment="1">
      <alignment horizontal="center" vertical="center" wrapText="1"/>
    </xf>
    <xf numFmtId="0" fontId="13" fillId="0" borderId="3" xfId="2" applyFont="1" applyBorder="1" applyAlignment="1">
      <alignment horizontal="center" vertical="center" wrapText="1"/>
    </xf>
    <xf numFmtId="0" fontId="8" fillId="0" borderId="18" xfId="2" applyFont="1" applyBorder="1" applyAlignment="1">
      <alignment horizontal="center" wrapText="1"/>
    </xf>
    <xf numFmtId="0" fontId="8" fillId="0" borderId="19" xfId="2" applyFont="1" applyBorder="1" applyAlignment="1">
      <alignment horizontal="center" wrapText="1"/>
    </xf>
    <xf numFmtId="0" fontId="24" fillId="0" borderId="32" xfId="2" applyFont="1" applyBorder="1" applyAlignment="1">
      <alignment horizontal="center" vertical="center"/>
    </xf>
    <xf numFmtId="0" fontId="24" fillId="0" borderId="33" xfId="2" applyFont="1" applyBorder="1" applyAlignment="1">
      <alignment horizontal="center" vertical="center"/>
    </xf>
    <xf numFmtId="0" fontId="24" fillId="0" borderId="34" xfId="2" applyFont="1" applyBorder="1" applyAlignment="1">
      <alignment horizontal="center" vertical="center"/>
    </xf>
    <xf numFmtId="9" fontId="24" fillId="0" borderId="32" xfId="2" applyNumberFormat="1" applyFont="1" applyBorder="1" applyAlignment="1">
      <alignment horizontal="center" vertical="center"/>
    </xf>
    <xf numFmtId="9" fontId="24" fillId="0" borderId="33" xfId="2" applyNumberFormat="1" applyFont="1" applyBorder="1" applyAlignment="1">
      <alignment horizontal="center" vertical="center"/>
    </xf>
    <xf numFmtId="9" fontId="24" fillId="0" borderId="34" xfId="2" applyNumberFormat="1" applyFont="1" applyBorder="1" applyAlignment="1">
      <alignment horizontal="center" vertical="center"/>
    </xf>
    <xf numFmtId="0" fontId="15" fillId="0" borderId="18" xfId="2" applyFont="1" applyBorder="1" applyAlignment="1">
      <alignment horizontal="center" wrapText="1"/>
    </xf>
    <xf numFmtId="0" fontId="15" fillId="0" borderId="19" xfId="2" applyFont="1" applyBorder="1" applyAlignment="1">
      <alignment horizontal="center" wrapText="1"/>
    </xf>
    <xf numFmtId="0" fontId="8" fillId="0" borderId="20" xfId="2" applyFont="1" applyBorder="1" applyAlignment="1">
      <alignment horizontal="center" wrapText="1"/>
    </xf>
    <xf numFmtId="0" fontId="13" fillId="0" borderId="5" xfId="2" applyFont="1" applyBorder="1" applyAlignment="1">
      <alignment horizontal="center" vertical="center" wrapText="1"/>
    </xf>
    <xf numFmtId="14" fontId="2" fillId="0" borderId="5" xfId="2" applyNumberFormat="1" applyFont="1" applyBorder="1" applyAlignment="1">
      <alignment horizontal="center" vertical="center" wrapText="1"/>
    </xf>
    <xf numFmtId="0" fontId="18" fillId="2" borderId="18" xfId="2" applyFont="1" applyFill="1" applyBorder="1" applyAlignment="1">
      <alignment horizontal="center" vertical="center"/>
    </xf>
    <xf numFmtId="0" fontId="18" fillId="2" borderId="19" xfId="2" applyFont="1" applyFill="1" applyBorder="1" applyAlignment="1">
      <alignment horizontal="center" vertical="center"/>
    </xf>
    <xf numFmtId="0" fontId="18" fillId="2" borderId="20" xfId="2" applyFont="1" applyFill="1" applyBorder="1" applyAlignment="1">
      <alignment horizontal="center" vertical="center"/>
    </xf>
  </cellXfs>
  <cellStyles count="9">
    <cellStyle name="Обычный" xfId="0" builtinId="0"/>
    <cellStyle name="Обычный 2" xfId="3" xr:uid="{AD3909B0-1777-4438-A434-27B2F68DD43E}"/>
    <cellStyle name="Обычный 2 2" xfId="4" xr:uid="{B300C6BD-48AA-4FB8-8C45-42FD69F74FAE}"/>
    <cellStyle name="Обычный 2 2 2" xfId="6" xr:uid="{DB065E76-1BF0-4B47-AE97-A2C036D7B0BC}"/>
    <cellStyle name="Обычный 2 2 6" xfId="8" xr:uid="{58B75CA9-260A-41CA-B022-2C38D1B5DC6D}"/>
    <cellStyle name="Обычный 3" xfId="2" xr:uid="{00000000-0005-0000-0000-00002F000000}"/>
    <cellStyle name="Процентный" xfId="1" builtinId="5"/>
    <cellStyle name="Процентный 2" xfId="5" xr:uid="{620BF0CA-170D-44B0-A678-B3B9EE6408AB}"/>
    <cellStyle name="Процентный 3" xfId="7" xr:uid="{3A6E8BEF-0BDF-4483-B42E-1D0C094A6191}"/>
  </cellStyles>
  <dxfs count="0"/>
  <tableStyles count="0" defaultTableStyle="TableStyleMedium2" defaultPivotStyle="PivotStyleLight16"/>
  <colors>
    <mruColors>
      <color rgb="FFFFFFCC"/>
      <color rgb="FFCCFFCC"/>
      <color rgb="FFFF99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02B8B-0EF8-4AD0-9545-F7725ECDD11F}">
  <sheetPr codeName="Лист1"/>
  <dimension ref="A1:Z58"/>
  <sheetViews>
    <sheetView tabSelected="1" zoomScale="70" zoomScaleNormal="70" workbookViewId="0">
      <pane xSplit="9" ySplit="2" topLeftCell="J3" activePane="bottomRight" state="frozen"/>
      <selection pane="topRight" activeCell="J1" sqref="J1"/>
      <selection pane="bottomLeft" activeCell="A3" sqref="A3"/>
      <selection pane="bottomRight" sqref="A1:G1"/>
    </sheetView>
  </sheetViews>
  <sheetFormatPr defaultRowHeight="15" x14ac:dyDescent="0.25"/>
  <cols>
    <col min="1" max="1" width="11.7109375" customWidth="1"/>
    <col min="2" max="2" width="22.42578125" style="1" customWidth="1"/>
    <col min="3" max="3" width="34.7109375" style="1" customWidth="1"/>
    <col min="4" max="4" width="24.85546875" style="1" customWidth="1"/>
    <col min="5" max="5" width="19.140625" style="1" customWidth="1"/>
    <col min="6" max="6" width="40.7109375" style="2" customWidth="1"/>
    <col min="7" max="8" width="11.7109375" style="1" customWidth="1"/>
    <col min="9" max="9" width="15.28515625" style="1" customWidth="1"/>
    <col min="10" max="23" width="14.5703125" style="1" customWidth="1"/>
  </cols>
  <sheetData>
    <row r="1" spans="1:23" ht="67.5" customHeight="1" thickBot="1" x14ac:dyDescent="0.3">
      <c r="A1" s="74" t="s">
        <v>18</v>
      </c>
      <c r="B1" s="75"/>
      <c r="C1" s="75"/>
      <c r="D1" s="75"/>
      <c r="E1" s="75"/>
      <c r="F1" s="75"/>
      <c r="G1" s="75"/>
      <c r="H1" s="72" t="s">
        <v>10</v>
      </c>
      <c r="I1" s="73"/>
      <c r="J1" s="47">
        <v>45656</v>
      </c>
      <c r="K1" s="48">
        <v>45657</v>
      </c>
      <c r="L1" s="48">
        <v>45658</v>
      </c>
      <c r="M1" s="48">
        <v>45659</v>
      </c>
      <c r="N1" s="48">
        <v>45660</v>
      </c>
      <c r="O1" s="48">
        <v>45661</v>
      </c>
      <c r="P1" s="86">
        <v>45662</v>
      </c>
      <c r="Q1" s="47">
        <v>45663</v>
      </c>
      <c r="R1" s="48">
        <v>45664</v>
      </c>
      <c r="S1" s="48">
        <v>45665</v>
      </c>
      <c r="T1" s="48">
        <v>45666</v>
      </c>
      <c r="U1" s="48">
        <v>45667</v>
      </c>
      <c r="V1" s="48">
        <v>45668</v>
      </c>
      <c r="W1" s="49">
        <v>45669</v>
      </c>
    </row>
    <row r="2" spans="1:23" ht="22.5" customHeight="1" thickBot="1" x14ac:dyDescent="0.3">
      <c r="A2" s="61" t="s">
        <v>16</v>
      </c>
      <c r="B2" s="61" t="s">
        <v>15</v>
      </c>
      <c r="C2" s="61" t="s">
        <v>14</v>
      </c>
      <c r="D2" s="61" t="s">
        <v>0</v>
      </c>
      <c r="E2" s="63" t="s">
        <v>4</v>
      </c>
      <c r="F2" s="62"/>
      <c r="G2" s="3"/>
      <c r="H2" s="25"/>
      <c r="I2" s="4"/>
      <c r="J2" s="69" t="s">
        <v>17</v>
      </c>
      <c r="K2" s="70"/>
      <c r="L2" s="70"/>
      <c r="M2" s="70"/>
      <c r="N2" s="70"/>
      <c r="O2" s="70"/>
      <c r="P2" s="71"/>
      <c r="Q2" s="87" t="s">
        <v>28</v>
      </c>
      <c r="R2" s="88"/>
      <c r="S2" s="88"/>
      <c r="T2" s="88"/>
      <c r="U2" s="88"/>
      <c r="V2" s="88"/>
      <c r="W2" s="89"/>
    </row>
    <row r="3" spans="1:23" s="8" customFormat="1" x14ac:dyDescent="0.25">
      <c r="A3" s="76">
        <v>1</v>
      </c>
      <c r="B3" s="76"/>
      <c r="C3" s="76"/>
      <c r="D3" s="76" t="s">
        <v>11</v>
      </c>
      <c r="E3" s="79"/>
      <c r="F3" s="64" t="s">
        <v>3</v>
      </c>
      <c r="G3" s="5" t="s">
        <v>6</v>
      </c>
      <c r="H3" s="7"/>
      <c r="I3" s="27">
        <f>SUM(J3:INDEX(3:3, MATCH(9.99999999999999E+307, 1:1, 1)))</f>
        <v>0</v>
      </c>
      <c r="J3" s="29"/>
      <c r="K3" s="18"/>
      <c r="L3" s="13"/>
      <c r="M3" s="13"/>
      <c r="N3" s="18"/>
      <c r="O3" s="13"/>
      <c r="P3" s="16"/>
      <c r="Q3" s="29"/>
      <c r="R3" s="18"/>
      <c r="S3" s="13"/>
      <c r="T3" s="13"/>
      <c r="U3" s="18"/>
      <c r="V3" s="13"/>
      <c r="W3" s="16"/>
    </row>
    <row r="4" spans="1:23" s="8" customFormat="1" x14ac:dyDescent="0.25">
      <c r="A4" s="77"/>
      <c r="B4" s="77"/>
      <c r="C4" s="77"/>
      <c r="D4" s="77"/>
      <c r="E4" s="80"/>
      <c r="F4" s="65" t="s">
        <v>1</v>
      </c>
      <c r="G4" s="6" t="s">
        <v>6</v>
      </c>
      <c r="H4" s="9"/>
      <c r="I4" s="28">
        <f>SUM(J4:INDEX(4:4, MATCH(9.99999999999999E+307, 1:1, 1)))</f>
        <v>0</v>
      </c>
      <c r="J4" s="30"/>
      <c r="K4" s="19"/>
      <c r="L4" s="15"/>
      <c r="M4" s="15"/>
      <c r="N4" s="19"/>
      <c r="O4" s="15"/>
      <c r="P4" s="17"/>
      <c r="Q4" s="30"/>
      <c r="R4" s="19"/>
      <c r="S4" s="15"/>
      <c r="T4" s="15"/>
      <c r="U4" s="19"/>
      <c r="V4" s="15"/>
      <c r="W4" s="17"/>
    </row>
    <row r="5" spans="1:23" s="8" customFormat="1" x14ac:dyDescent="0.25">
      <c r="A5" s="77"/>
      <c r="B5" s="77"/>
      <c r="C5" s="77"/>
      <c r="D5" s="77"/>
      <c r="E5" s="80"/>
      <c r="F5" s="65" t="s">
        <v>2</v>
      </c>
      <c r="G5" s="6" t="s">
        <v>6</v>
      </c>
      <c r="H5" s="9"/>
      <c r="I5" s="28" t="s">
        <v>25</v>
      </c>
      <c r="J5" s="30"/>
      <c r="K5" s="19"/>
      <c r="L5" s="15"/>
      <c r="M5" s="15"/>
      <c r="N5" s="19"/>
      <c r="O5" s="15"/>
      <c r="P5" s="17"/>
      <c r="Q5" s="30"/>
      <c r="R5" s="19"/>
      <c r="S5" s="15"/>
      <c r="T5" s="15"/>
      <c r="U5" s="19"/>
      <c r="V5" s="15"/>
      <c r="W5" s="17"/>
    </row>
    <row r="6" spans="1:23" s="8" customFormat="1" x14ac:dyDescent="0.25">
      <c r="A6" s="77"/>
      <c r="B6" s="77"/>
      <c r="C6" s="77"/>
      <c r="D6" s="77"/>
      <c r="E6" s="80"/>
      <c r="F6" s="65" t="s">
        <v>7</v>
      </c>
      <c r="G6" s="6" t="s">
        <v>6</v>
      </c>
      <c r="H6" s="9"/>
      <c r="I6" s="28" t="s">
        <v>25</v>
      </c>
      <c r="J6" s="30"/>
      <c r="K6" s="19"/>
      <c r="L6" s="15"/>
      <c r="M6" s="15"/>
      <c r="N6" s="19"/>
      <c r="O6" s="15"/>
      <c r="P6" s="17"/>
      <c r="Q6" s="30"/>
      <c r="R6" s="19"/>
      <c r="S6" s="15"/>
      <c r="T6" s="15"/>
      <c r="U6" s="19"/>
      <c r="V6" s="15"/>
      <c r="W6" s="17"/>
    </row>
    <row r="7" spans="1:23" s="8" customFormat="1" x14ac:dyDescent="0.25">
      <c r="A7" s="77"/>
      <c r="B7" s="77"/>
      <c r="C7" s="77"/>
      <c r="D7" s="77"/>
      <c r="E7" s="80"/>
      <c r="F7" s="65" t="s">
        <v>19</v>
      </c>
      <c r="G7" s="6" t="s">
        <v>6</v>
      </c>
      <c r="H7" s="9"/>
      <c r="I7" s="28">
        <f>SUM(J7:INDEX(7:7, MATCH(9.99999999999999E+307, 1:1, 1)))</f>
        <v>0</v>
      </c>
      <c r="J7" s="30"/>
      <c r="K7" s="19"/>
      <c r="L7" s="15"/>
      <c r="M7" s="15"/>
      <c r="N7" s="19"/>
      <c r="O7" s="15"/>
      <c r="P7" s="17"/>
      <c r="Q7" s="30"/>
      <c r="R7" s="19"/>
      <c r="S7" s="15"/>
      <c r="T7" s="15"/>
      <c r="U7" s="19"/>
      <c r="V7" s="15"/>
      <c r="W7" s="17"/>
    </row>
    <row r="8" spans="1:23" s="8" customFormat="1" x14ac:dyDescent="0.25">
      <c r="A8" s="77"/>
      <c r="B8" s="77"/>
      <c r="C8" s="77"/>
      <c r="D8" s="77"/>
      <c r="E8" s="80"/>
      <c r="F8" s="65" t="s">
        <v>20</v>
      </c>
      <c r="G8" s="6" t="s">
        <v>6</v>
      </c>
      <c r="H8" s="9"/>
      <c r="I8" s="28">
        <f>SUM(J8:INDEX(8:8, MATCH(9.99999999999999E+307, 1:1, 1)))</f>
        <v>0</v>
      </c>
      <c r="J8" s="30"/>
      <c r="K8" s="19"/>
      <c r="L8" s="15"/>
      <c r="M8" s="15"/>
      <c r="N8" s="19"/>
      <c r="O8" s="15"/>
      <c r="P8" s="17"/>
      <c r="Q8" s="30"/>
      <c r="R8" s="19"/>
      <c r="S8" s="15"/>
      <c r="T8" s="15"/>
      <c r="U8" s="19"/>
      <c r="V8" s="15"/>
      <c r="W8" s="17"/>
    </row>
    <row r="9" spans="1:23" s="8" customFormat="1" x14ac:dyDescent="0.25">
      <c r="A9" s="77"/>
      <c r="B9" s="77"/>
      <c r="C9" s="77"/>
      <c r="D9" s="77"/>
      <c r="E9" s="80"/>
      <c r="F9" s="66" t="s">
        <v>8</v>
      </c>
      <c r="G9" s="20" t="s">
        <v>5</v>
      </c>
      <c r="H9" s="21"/>
      <c r="I9" s="34">
        <f>IFERROR(SUM(I7:I8)/I4,0)</f>
        <v>0</v>
      </c>
      <c r="J9" s="31">
        <f t="shared" ref="J9:P9" si="0">IFERROR(SUM(J7:J8)/J4,0)</f>
        <v>0</v>
      </c>
      <c r="K9" s="24">
        <f t="shared" si="0"/>
        <v>0</v>
      </c>
      <c r="L9" s="22">
        <f t="shared" si="0"/>
        <v>0</v>
      </c>
      <c r="M9" s="22">
        <f t="shared" si="0"/>
        <v>0</v>
      </c>
      <c r="N9" s="24">
        <f t="shared" si="0"/>
        <v>0</v>
      </c>
      <c r="O9" s="22">
        <f t="shared" si="0"/>
        <v>0</v>
      </c>
      <c r="P9" s="23">
        <f t="shared" si="0"/>
        <v>0</v>
      </c>
      <c r="Q9" s="31">
        <f t="shared" ref="Q9:W9" si="1">IFERROR(SUM(Q7:Q8)/Q4,0)</f>
        <v>0</v>
      </c>
      <c r="R9" s="24">
        <f t="shared" si="1"/>
        <v>0</v>
      </c>
      <c r="S9" s="22">
        <f t="shared" si="1"/>
        <v>0</v>
      </c>
      <c r="T9" s="22">
        <f t="shared" si="1"/>
        <v>0</v>
      </c>
      <c r="U9" s="24">
        <f t="shared" si="1"/>
        <v>0</v>
      </c>
      <c r="V9" s="22">
        <f t="shared" si="1"/>
        <v>0</v>
      </c>
      <c r="W9" s="23">
        <f t="shared" si="1"/>
        <v>0</v>
      </c>
    </row>
    <row r="10" spans="1:23" s="8" customFormat="1" x14ac:dyDescent="0.25">
      <c r="A10" s="77"/>
      <c r="B10" s="77"/>
      <c r="C10" s="77"/>
      <c r="D10" s="77"/>
      <c r="E10" s="80"/>
      <c r="F10" s="65" t="s">
        <v>21</v>
      </c>
      <c r="G10" s="6" t="s">
        <v>6</v>
      </c>
      <c r="H10" s="9"/>
      <c r="I10" s="28">
        <f>SUM(J10:INDEX(10:10, MATCH(9.99999999999999E+307, 1:1, 1)))</f>
        <v>0</v>
      </c>
      <c r="J10" s="30"/>
      <c r="K10" s="19"/>
      <c r="L10" s="15"/>
      <c r="M10" s="15"/>
      <c r="N10" s="19"/>
      <c r="O10" s="15"/>
      <c r="P10" s="17"/>
      <c r="Q10" s="30"/>
      <c r="R10" s="19"/>
      <c r="S10" s="15"/>
      <c r="T10" s="15"/>
      <c r="U10" s="19"/>
      <c r="V10" s="15"/>
      <c r="W10" s="17"/>
    </row>
    <row r="11" spans="1:23" s="8" customFormat="1" x14ac:dyDescent="0.25">
      <c r="A11" s="77"/>
      <c r="B11" s="77"/>
      <c r="C11" s="77"/>
      <c r="D11" s="77"/>
      <c r="E11" s="80"/>
      <c r="F11" s="65" t="s">
        <v>22</v>
      </c>
      <c r="G11" s="6" t="s">
        <v>6</v>
      </c>
      <c r="H11" s="9"/>
      <c r="I11" s="28">
        <f>SUM(J11:INDEX(11:11, MATCH(9.99999999999999E+307, 1:1, 1)))</f>
        <v>0</v>
      </c>
      <c r="J11" s="30"/>
      <c r="K11" s="19"/>
      <c r="L11" s="15"/>
      <c r="M11" s="15"/>
      <c r="N11" s="19"/>
      <c r="O11" s="15"/>
      <c r="P11" s="17"/>
      <c r="Q11" s="30"/>
      <c r="R11" s="19"/>
      <c r="S11" s="15"/>
      <c r="T11" s="15"/>
      <c r="U11" s="19"/>
      <c r="V11" s="15"/>
      <c r="W11" s="17"/>
    </row>
    <row r="12" spans="1:23" s="41" customFormat="1" ht="15.75" thickBot="1" x14ac:dyDescent="0.3">
      <c r="A12" s="77"/>
      <c r="B12" s="77"/>
      <c r="C12" s="77"/>
      <c r="D12" s="78"/>
      <c r="E12" s="81"/>
      <c r="F12" s="67" t="s">
        <v>9</v>
      </c>
      <c r="G12" s="35" t="s">
        <v>5</v>
      </c>
      <c r="H12" s="36"/>
      <c r="I12" s="37">
        <f>IFERROR(SUM(I10:I11)/I4,0)</f>
        <v>0</v>
      </c>
      <c r="J12" s="38">
        <f>IFERROR(SUM(J10:J11)/J4,0)</f>
        <v>0</v>
      </c>
      <c r="K12" s="39">
        <f t="shared" ref="K12:P12" si="2">IFERROR(SUM(K10:K11)/K4,0)</f>
        <v>0</v>
      </c>
      <c r="L12" s="40">
        <f t="shared" si="2"/>
        <v>0</v>
      </c>
      <c r="M12" s="40">
        <f t="shared" si="2"/>
        <v>0</v>
      </c>
      <c r="N12" s="39">
        <f t="shared" si="2"/>
        <v>0</v>
      </c>
      <c r="O12" s="40">
        <f t="shared" si="2"/>
        <v>0</v>
      </c>
      <c r="P12" s="37">
        <f t="shared" si="2"/>
        <v>0</v>
      </c>
      <c r="Q12" s="38">
        <f>IFERROR(SUM(Q10:Q11)/Q4,0)</f>
        <v>0</v>
      </c>
      <c r="R12" s="39">
        <f t="shared" ref="R12:W12" si="3">IFERROR(SUM(R10:R11)/R4,0)</f>
        <v>0</v>
      </c>
      <c r="S12" s="40">
        <f t="shared" si="3"/>
        <v>0</v>
      </c>
      <c r="T12" s="40">
        <f t="shared" si="3"/>
        <v>0</v>
      </c>
      <c r="U12" s="39">
        <f t="shared" si="3"/>
        <v>0</v>
      </c>
      <c r="V12" s="40">
        <f t="shared" si="3"/>
        <v>0</v>
      </c>
      <c r="W12" s="37">
        <f t="shared" si="3"/>
        <v>0</v>
      </c>
    </row>
    <row r="13" spans="1:23" s="8" customFormat="1" x14ac:dyDescent="0.25">
      <c r="A13" s="77"/>
      <c r="B13" s="77"/>
      <c r="C13" s="77"/>
      <c r="D13" s="76" t="s">
        <v>12</v>
      </c>
      <c r="E13" s="79"/>
      <c r="F13" s="64" t="s">
        <v>3</v>
      </c>
      <c r="G13" s="5" t="s">
        <v>6</v>
      </c>
      <c r="H13" s="7"/>
      <c r="I13" s="27">
        <f>SUM(J13:INDEX(13:13, MATCH(9.99999999999999E+307, 1:1, 1)))</f>
        <v>0</v>
      </c>
      <c r="J13" s="29"/>
      <c r="K13" s="18"/>
      <c r="L13" s="13"/>
      <c r="M13" s="13"/>
      <c r="N13" s="18"/>
      <c r="O13" s="13"/>
      <c r="P13" s="16"/>
      <c r="Q13" s="29"/>
      <c r="R13" s="18"/>
      <c r="S13" s="13"/>
      <c r="T13" s="13"/>
      <c r="U13" s="18"/>
      <c r="V13" s="13"/>
      <c r="W13" s="16"/>
    </row>
    <row r="14" spans="1:23" s="8" customFormat="1" x14ac:dyDescent="0.25">
      <c r="A14" s="77"/>
      <c r="B14" s="77"/>
      <c r="C14" s="77"/>
      <c r="D14" s="77"/>
      <c r="E14" s="80"/>
      <c r="F14" s="65" t="s">
        <v>1</v>
      </c>
      <c r="G14" s="6" t="s">
        <v>6</v>
      </c>
      <c r="H14" s="9"/>
      <c r="I14" s="28">
        <f>SUM(J14:INDEX(14:14, MATCH(9.99999999999999E+307, 1:1, 1)))</f>
        <v>0</v>
      </c>
      <c r="J14" s="30"/>
      <c r="K14" s="19"/>
      <c r="L14" s="15"/>
      <c r="M14" s="15"/>
      <c r="N14" s="19"/>
      <c r="O14" s="15"/>
      <c r="P14" s="17"/>
      <c r="Q14" s="30"/>
      <c r="R14" s="19"/>
      <c r="S14" s="15"/>
      <c r="T14" s="15"/>
      <c r="U14" s="19"/>
      <c r="V14" s="15"/>
      <c r="W14" s="17"/>
    </row>
    <row r="15" spans="1:23" s="8" customFormat="1" x14ac:dyDescent="0.25">
      <c r="A15" s="77"/>
      <c r="B15" s="77"/>
      <c r="C15" s="77"/>
      <c r="D15" s="77"/>
      <c r="E15" s="80"/>
      <c r="F15" s="65" t="s">
        <v>2</v>
      </c>
      <c r="G15" s="6" t="s">
        <v>6</v>
      </c>
      <c r="H15" s="9"/>
      <c r="I15" s="28" t="s">
        <v>25</v>
      </c>
      <c r="J15" s="30"/>
      <c r="K15" s="19"/>
      <c r="L15" s="15"/>
      <c r="M15" s="15"/>
      <c r="N15" s="19"/>
      <c r="O15" s="15"/>
      <c r="P15" s="17"/>
      <c r="Q15" s="30"/>
      <c r="R15" s="19"/>
      <c r="S15" s="15"/>
      <c r="T15" s="15"/>
      <c r="U15" s="19"/>
      <c r="V15" s="15"/>
      <c r="W15" s="17"/>
    </row>
    <row r="16" spans="1:23" s="8" customFormat="1" x14ac:dyDescent="0.25">
      <c r="A16" s="77"/>
      <c r="B16" s="77"/>
      <c r="C16" s="77"/>
      <c r="D16" s="77"/>
      <c r="E16" s="80"/>
      <c r="F16" s="65" t="s">
        <v>7</v>
      </c>
      <c r="G16" s="6" t="s">
        <v>6</v>
      </c>
      <c r="H16" s="9"/>
      <c r="I16" s="28" t="s">
        <v>25</v>
      </c>
      <c r="J16" s="30"/>
      <c r="K16" s="19"/>
      <c r="L16" s="15"/>
      <c r="M16" s="15"/>
      <c r="N16" s="19"/>
      <c r="O16" s="15"/>
      <c r="P16" s="17"/>
      <c r="Q16" s="30"/>
      <c r="R16" s="19"/>
      <c r="S16" s="15"/>
      <c r="T16" s="15"/>
      <c r="U16" s="19"/>
      <c r="V16" s="15"/>
      <c r="W16" s="17"/>
    </row>
    <row r="17" spans="1:23" s="8" customFormat="1" x14ac:dyDescent="0.25">
      <c r="A17" s="77"/>
      <c r="B17" s="77"/>
      <c r="C17" s="77"/>
      <c r="D17" s="77"/>
      <c r="E17" s="80"/>
      <c r="F17" s="65" t="s">
        <v>19</v>
      </c>
      <c r="G17" s="6" t="s">
        <v>6</v>
      </c>
      <c r="H17" s="9"/>
      <c r="I17" s="28">
        <f>SUM(J17:INDEX(17:17, MATCH(9.99999999999999E+307, 1:1, 1)))</f>
        <v>0</v>
      </c>
      <c r="J17" s="30"/>
      <c r="K17" s="19"/>
      <c r="L17" s="15"/>
      <c r="M17" s="15"/>
      <c r="N17" s="19"/>
      <c r="O17" s="15"/>
      <c r="P17" s="17"/>
      <c r="Q17" s="30"/>
      <c r="R17" s="19"/>
      <c r="S17" s="15"/>
      <c r="T17" s="15"/>
      <c r="U17" s="19"/>
      <c r="V17" s="15"/>
      <c r="W17" s="17"/>
    </row>
    <row r="18" spans="1:23" s="8" customFormat="1" x14ac:dyDescent="0.25">
      <c r="A18" s="77"/>
      <c r="B18" s="77"/>
      <c r="C18" s="77"/>
      <c r="D18" s="77"/>
      <c r="E18" s="80"/>
      <c r="F18" s="65" t="s">
        <v>20</v>
      </c>
      <c r="G18" s="6" t="s">
        <v>6</v>
      </c>
      <c r="H18" s="9"/>
      <c r="I18" s="28">
        <f>SUM(J18:INDEX(18:18, MATCH(9.99999999999999E+307, 1:1, 1)))</f>
        <v>0</v>
      </c>
      <c r="J18" s="30"/>
      <c r="K18" s="19"/>
      <c r="L18" s="15"/>
      <c r="M18" s="15"/>
      <c r="N18" s="19"/>
      <c r="O18" s="15"/>
      <c r="P18" s="17"/>
      <c r="Q18" s="30"/>
      <c r="R18" s="19"/>
      <c r="S18" s="15"/>
      <c r="T18" s="15"/>
      <c r="U18" s="19"/>
      <c r="V18" s="15"/>
      <c r="W18" s="17"/>
    </row>
    <row r="19" spans="1:23" s="8" customFormat="1" x14ac:dyDescent="0.25">
      <c r="A19" s="77"/>
      <c r="B19" s="77"/>
      <c r="C19" s="77"/>
      <c r="D19" s="77"/>
      <c r="E19" s="80"/>
      <c r="F19" s="66" t="s">
        <v>8</v>
      </c>
      <c r="G19" s="20" t="s">
        <v>5</v>
      </c>
      <c r="H19" s="21"/>
      <c r="I19" s="34">
        <f>IFERROR(SUM(I17:I18)/I14,0)</f>
        <v>0</v>
      </c>
      <c r="J19" s="31">
        <f t="shared" ref="J19:P19" si="4">IFERROR(SUM(J17:J18)/J14,0)</f>
        <v>0</v>
      </c>
      <c r="K19" s="24">
        <f t="shared" si="4"/>
        <v>0</v>
      </c>
      <c r="L19" s="22">
        <f t="shared" si="4"/>
        <v>0</v>
      </c>
      <c r="M19" s="22">
        <f t="shared" si="4"/>
        <v>0</v>
      </c>
      <c r="N19" s="24">
        <f t="shared" si="4"/>
        <v>0</v>
      </c>
      <c r="O19" s="22">
        <f t="shared" si="4"/>
        <v>0</v>
      </c>
      <c r="P19" s="23">
        <f t="shared" si="4"/>
        <v>0</v>
      </c>
      <c r="Q19" s="31">
        <f t="shared" ref="Q19:W19" si="5">IFERROR(SUM(Q17:Q18)/Q14,0)</f>
        <v>0</v>
      </c>
      <c r="R19" s="24">
        <f t="shared" si="5"/>
        <v>0</v>
      </c>
      <c r="S19" s="22">
        <f t="shared" si="5"/>
        <v>0</v>
      </c>
      <c r="T19" s="22">
        <f t="shared" si="5"/>
        <v>0</v>
      </c>
      <c r="U19" s="24">
        <f t="shared" si="5"/>
        <v>0</v>
      </c>
      <c r="V19" s="22">
        <f t="shared" si="5"/>
        <v>0</v>
      </c>
      <c r="W19" s="23">
        <f t="shared" si="5"/>
        <v>0</v>
      </c>
    </row>
    <row r="20" spans="1:23" s="8" customFormat="1" x14ac:dyDescent="0.25">
      <c r="A20" s="77"/>
      <c r="B20" s="77"/>
      <c r="C20" s="77"/>
      <c r="D20" s="77"/>
      <c r="E20" s="80"/>
      <c r="F20" s="65" t="s">
        <v>21</v>
      </c>
      <c r="G20" s="6" t="s">
        <v>6</v>
      </c>
      <c r="H20" s="9"/>
      <c r="I20" s="28">
        <f>SUM(J20:INDEX(20:20, MATCH(9.99999999999999E+307, 1:1, 1)))</f>
        <v>0</v>
      </c>
      <c r="J20" s="30"/>
      <c r="K20" s="19"/>
      <c r="L20" s="15"/>
      <c r="M20" s="15"/>
      <c r="N20" s="19"/>
      <c r="O20" s="15"/>
      <c r="P20" s="17"/>
      <c r="Q20" s="30"/>
      <c r="R20" s="19"/>
      <c r="S20" s="15"/>
      <c r="T20" s="15"/>
      <c r="U20" s="19"/>
      <c r="V20" s="15"/>
      <c r="W20" s="17"/>
    </row>
    <row r="21" spans="1:23" s="8" customFormat="1" x14ac:dyDescent="0.25">
      <c r="A21" s="77"/>
      <c r="B21" s="77"/>
      <c r="C21" s="77"/>
      <c r="D21" s="77"/>
      <c r="E21" s="80"/>
      <c r="F21" s="65" t="s">
        <v>22</v>
      </c>
      <c r="G21" s="6" t="s">
        <v>6</v>
      </c>
      <c r="H21" s="9"/>
      <c r="I21" s="28">
        <f>SUM(J21:INDEX(21:21, MATCH(9.99999999999999E+307, 1:1, 1)))</f>
        <v>0</v>
      </c>
      <c r="J21" s="30"/>
      <c r="K21" s="19"/>
      <c r="L21" s="15"/>
      <c r="M21" s="15"/>
      <c r="N21" s="19"/>
      <c r="O21" s="15"/>
      <c r="P21" s="17"/>
      <c r="Q21" s="30"/>
      <c r="R21" s="19"/>
      <c r="S21" s="15"/>
      <c r="T21" s="15"/>
      <c r="U21" s="19"/>
      <c r="V21" s="15"/>
      <c r="W21" s="17"/>
    </row>
    <row r="22" spans="1:23" s="41" customFormat="1" ht="15.75" thickBot="1" x14ac:dyDescent="0.3">
      <c r="A22" s="77"/>
      <c r="B22" s="77"/>
      <c r="C22" s="77"/>
      <c r="D22" s="78"/>
      <c r="E22" s="81"/>
      <c r="F22" s="67" t="s">
        <v>9</v>
      </c>
      <c r="G22" s="35" t="s">
        <v>5</v>
      </c>
      <c r="H22" s="36"/>
      <c r="I22" s="37">
        <f t="shared" ref="I22:P22" si="6">IFERROR(SUM(I20:I21)/I14,0)</f>
        <v>0</v>
      </c>
      <c r="J22" s="38">
        <f t="shared" si="6"/>
        <v>0</v>
      </c>
      <c r="K22" s="39">
        <f t="shared" si="6"/>
        <v>0</v>
      </c>
      <c r="L22" s="40">
        <f t="shared" si="6"/>
        <v>0</v>
      </c>
      <c r="M22" s="40">
        <f t="shared" si="6"/>
        <v>0</v>
      </c>
      <c r="N22" s="39">
        <f t="shared" si="6"/>
        <v>0</v>
      </c>
      <c r="O22" s="40">
        <f t="shared" si="6"/>
        <v>0</v>
      </c>
      <c r="P22" s="37">
        <f t="shared" si="6"/>
        <v>0</v>
      </c>
      <c r="Q22" s="38">
        <f t="shared" ref="Q22:W22" si="7">IFERROR(SUM(Q20:Q21)/Q14,0)</f>
        <v>0</v>
      </c>
      <c r="R22" s="39">
        <f t="shared" si="7"/>
        <v>0</v>
      </c>
      <c r="S22" s="40">
        <f t="shared" si="7"/>
        <v>0</v>
      </c>
      <c r="T22" s="40">
        <f t="shared" si="7"/>
        <v>0</v>
      </c>
      <c r="U22" s="39">
        <f t="shared" si="7"/>
        <v>0</v>
      </c>
      <c r="V22" s="40">
        <f t="shared" si="7"/>
        <v>0</v>
      </c>
      <c r="W22" s="37">
        <f t="shared" si="7"/>
        <v>0</v>
      </c>
    </row>
    <row r="23" spans="1:23" s="8" customFormat="1" x14ac:dyDescent="0.25">
      <c r="A23" s="77"/>
      <c r="B23" s="77"/>
      <c r="C23" s="77"/>
      <c r="D23" s="76" t="s">
        <v>13</v>
      </c>
      <c r="E23" s="79"/>
      <c r="F23" s="64" t="s">
        <v>3</v>
      </c>
      <c r="G23" s="5" t="s">
        <v>6</v>
      </c>
      <c r="H23" s="7"/>
      <c r="I23" s="27">
        <f>SUM(J23:INDEX(23:23, MATCH(9.99999999999999E+307, 1:1, 1)))</f>
        <v>0</v>
      </c>
      <c r="J23" s="12"/>
      <c r="K23" s="32"/>
      <c r="L23" s="32"/>
      <c r="M23" s="32"/>
      <c r="N23" s="32"/>
      <c r="O23" s="32"/>
      <c r="P23" s="16"/>
      <c r="Q23" s="12"/>
      <c r="R23" s="32"/>
      <c r="S23" s="32"/>
      <c r="T23" s="32"/>
      <c r="U23" s="32"/>
      <c r="V23" s="32"/>
      <c r="W23" s="16"/>
    </row>
    <row r="24" spans="1:23" s="8" customFormat="1" x14ac:dyDescent="0.25">
      <c r="A24" s="77"/>
      <c r="B24" s="77"/>
      <c r="C24" s="77"/>
      <c r="D24" s="77"/>
      <c r="E24" s="80"/>
      <c r="F24" s="65" t="s">
        <v>1</v>
      </c>
      <c r="G24" s="6" t="s">
        <v>6</v>
      </c>
      <c r="H24" s="9"/>
      <c r="I24" s="28">
        <f>SUM(J24:INDEX(24:24, MATCH(9.99999999999999E+307, 1:1, 1)))</f>
        <v>0</v>
      </c>
      <c r="J24" s="14"/>
      <c r="K24" s="33"/>
      <c r="L24" s="33"/>
      <c r="M24" s="33"/>
      <c r="N24" s="33"/>
      <c r="O24" s="33"/>
      <c r="P24" s="17"/>
      <c r="Q24" s="14"/>
      <c r="R24" s="33"/>
      <c r="S24" s="33"/>
      <c r="T24" s="33"/>
      <c r="U24" s="33"/>
      <c r="V24" s="33"/>
      <c r="W24" s="17"/>
    </row>
    <row r="25" spans="1:23" s="8" customFormat="1" x14ac:dyDescent="0.25">
      <c r="A25" s="77"/>
      <c r="B25" s="77"/>
      <c r="C25" s="77"/>
      <c r="D25" s="77"/>
      <c r="E25" s="80"/>
      <c r="F25" s="65" t="s">
        <v>2</v>
      </c>
      <c r="G25" s="6" t="s">
        <v>6</v>
      </c>
      <c r="H25" s="9"/>
      <c r="I25" s="28" t="s">
        <v>25</v>
      </c>
      <c r="J25" s="14"/>
      <c r="K25" s="33"/>
      <c r="L25" s="33"/>
      <c r="M25" s="33"/>
      <c r="N25" s="33"/>
      <c r="O25" s="33"/>
      <c r="P25" s="17"/>
      <c r="Q25" s="14"/>
      <c r="R25" s="33"/>
      <c r="S25" s="33"/>
      <c r="T25" s="33"/>
      <c r="U25" s="33"/>
      <c r="V25" s="33"/>
      <c r="W25" s="17"/>
    </row>
    <row r="26" spans="1:23" s="8" customFormat="1" x14ac:dyDescent="0.25">
      <c r="A26" s="77"/>
      <c r="B26" s="77"/>
      <c r="C26" s="77"/>
      <c r="D26" s="77"/>
      <c r="E26" s="80"/>
      <c r="F26" s="65" t="s">
        <v>7</v>
      </c>
      <c r="G26" s="6" t="s">
        <v>6</v>
      </c>
      <c r="H26" s="9"/>
      <c r="I26" s="28" t="s">
        <v>25</v>
      </c>
      <c r="J26" s="14"/>
      <c r="K26" s="33"/>
      <c r="L26" s="33"/>
      <c r="M26" s="33"/>
      <c r="N26" s="33"/>
      <c r="O26" s="33"/>
      <c r="P26" s="17"/>
      <c r="Q26" s="14"/>
      <c r="R26" s="33"/>
      <c r="S26" s="33"/>
      <c r="T26" s="33"/>
      <c r="U26" s="33"/>
      <c r="V26" s="33"/>
      <c r="W26" s="17"/>
    </row>
    <row r="27" spans="1:23" s="8" customFormat="1" x14ac:dyDescent="0.25">
      <c r="A27" s="77"/>
      <c r="B27" s="77"/>
      <c r="C27" s="77"/>
      <c r="D27" s="77"/>
      <c r="E27" s="80"/>
      <c r="F27" s="65" t="s">
        <v>19</v>
      </c>
      <c r="G27" s="6" t="s">
        <v>6</v>
      </c>
      <c r="H27" s="9"/>
      <c r="I27" s="28">
        <f>SUM(J27:INDEX(27:27, MATCH(9.99999999999999E+307, 1:1, 1)))</f>
        <v>0</v>
      </c>
      <c r="J27" s="14"/>
      <c r="K27" s="33"/>
      <c r="L27" s="33"/>
      <c r="M27" s="33"/>
      <c r="N27" s="33"/>
      <c r="O27" s="33"/>
      <c r="P27" s="17"/>
      <c r="Q27" s="14"/>
      <c r="R27" s="33"/>
      <c r="S27" s="33"/>
      <c r="T27" s="33"/>
      <c r="U27" s="33"/>
      <c r="V27" s="33"/>
      <c r="W27" s="17"/>
    </row>
    <row r="28" spans="1:23" s="8" customFormat="1" x14ac:dyDescent="0.25">
      <c r="A28" s="77"/>
      <c r="B28" s="77"/>
      <c r="C28" s="77"/>
      <c r="D28" s="77"/>
      <c r="E28" s="80"/>
      <c r="F28" s="65" t="s">
        <v>20</v>
      </c>
      <c r="G28" s="6" t="s">
        <v>6</v>
      </c>
      <c r="H28" s="9"/>
      <c r="I28" s="28">
        <f>SUM(J28:INDEX(28:28, MATCH(9.99999999999999E+307, 1:1, 1)))</f>
        <v>0</v>
      </c>
      <c r="J28" s="14"/>
      <c r="K28" s="33"/>
      <c r="L28" s="33"/>
      <c r="M28" s="33"/>
      <c r="N28" s="33"/>
      <c r="O28" s="33"/>
      <c r="P28" s="17"/>
      <c r="Q28" s="14"/>
      <c r="R28" s="33"/>
      <c r="S28" s="33"/>
      <c r="T28" s="33"/>
      <c r="U28" s="33"/>
      <c r="V28" s="33"/>
      <c r="W28" s="17"/>
    </row>
    <row r="29" spans="1:23" s="8" customFormat="1" x14ac:dyDescent="0.25">
      <c r="A29" s="77"/>
      <c r="B29" s="77"/>
      <c r="C29" s="77"/>
      <c r="D29" s="77"/>
      <c r="E29" s="80"/>
      <c r="F29" s="66" t="s">
        <v>8</v>
      </c>
      <c r="G29" s="20" t="s">
        <v>5</v>
      </c>
      <c r="H29" s="21"/>
      <c r="I29" s="34">
        <f>IFERROR(SUM(I27:I28)/I24,0)</f>
        <v>0</v>
      </c>
      <c r="J29" s="31">
        <f>IFERROR(SUM(J27:J28)/J24,0)</f>
        <v>0</v>
      </c>
      <c r="K29" s="24">
        <f t="shared" ref="K29:P29" si="8">IFERROR(SUM(K27:K28)/K24,0)</f>
        <v>0</v>
      </c>
      <c r="L29" s="22">
        <f t="shared" si="8"/>
        <v>0</v>
      </c>
      <c r="M29" s="22">
        <f t="shared" si="8"/>
        <v>0</v>
      </c>
      <c r="N29" s="24">
        <f t="shared" si="8"/>
        <v>0</v>
      </c>
      <c r="O29" s="22">
        <f t="shared" si="8"/>
        <v>0</v>
      </c>
      <c r="P29" s="23">
        <f t="shared" si="8"/>
        <v>0</v>
      </c>
      <c r="Q29" s="31">
        <f>IFERROR(SUM(Q27:Q28)/Q24,0)</f>
        <v>0</v>
      </c>
      <c r="R29" s="24">
        <f t="shared" ref="R29:W29" si="9">IFERROR(SUM(R27:R28)/R24,0)</f>
        <v>0</v>
      </c>
      <c r="S29" s="22">
        <f t="shared" si="9"/>
        <v>0</v>
      </c>
      <c r="T29" s="22">
        <f t="shared" si="9"/>
        <v>0</v>
      </c>
      <c r="U29" s="24">
        <f t="shared" si="9"/>
        <v>0</v>
      </c>
      <c r="V29" s="22">
        <f t="shared" si="9"/>
        <v>0</v>
      </c>
      <c r="W29" s="23">
        <f t="shared" si="9"/>
        <v>0</v>
      </c>
    </row>
    <row r="30" spans="1:23" s="8" customFormat="1" x14ac:dyDescent="0.25">
      <c r="A30" s="77"/>
      <c r="B30" s="77"/>
      <c r="C30" s="77"/>
      <c r="D30" s="77"/>
      <c r="E30" s="80"/>
      <c r="F30" s="65" t="s">
        <v>21</v>
      </c>
      <c r="G30" s="6" t="s">
        <v>6</v>
      </c>
      <c r="H30" s="9"/>
      <c r="I30" s="28">
        <f>SUM(J30:INDEX(30:30, MATCH(9.99999999999999E+307, 1:1, 1)))</f>
        <v>0</v>
      </c>
      <c r="J30" s="30"/>
      <c r="K30" s="19"/>
      <c r="L30" s="15"/>
      <c r="M30" s="15"/>
      <c r="N30" s="19"/>
      <c r="O30" s="15"/>
      <c r="P30" s="17"/>
      <c r="Q30" s="30"/>
      <c r="R30" s="19"/>
      <c r="S30" s="15"/>
      <c r="T30" s="15"/>
      <c r="U30" s="19"/>
      <c r="V30" s="15"/>
      <c r="W30" s="17"/>
    </row>
    <row r="31" spans="1:23" s="8" customFormat="1" x14ac:dyDescent="0.25">
      <c r="A31" s="77"/>
      <c r="B31" s="77"/>
      <c r="C31" s="77"/>
      <c r="D31" s="77"/>
      <c r="E31" s="80"/>
      <c r="F31" s="65" t="s">
        <v>22</v>
      </c>
      <c r="G31" s="6" t="s">
        <v>6</v>
      </c>
      <c r="H31" s="9"/>
      <c r="I31" s="28">
        <f>SUM(J31:INDEX(31:31, MATCH(9.99999999999999E+307, 1:1, 1)))</f>
        <v>0</v>
      </c>
      <c r="J31" s="30"/>
      <c r="K31" s="19"/>
      <c r="L31" s="15"/>
      <c r="M31" s="15"/>
      <c r="N31" s="19"/>
      <c r="O31" s="15"/>
      <c r="P31" s="17"/>
      <c r="Q31" s="30"/>
      <c r="R31" s="19"/>
      <c r="S31" s="15"/>
      <c r="T31" s="15"/>
      <c r="U31" s="19"/>
      <c r="V31" s="15"/>
      <c r="W31" s="17"/>
    </row>
    <row r="32" spans="1:23" s="41" customFormat="1" ht="15.75" thickBot="1" x14ac:dyDescent="0.3">
      <c r="A32" s="78"/>
      <c r="B32" s="78"/>
      <c r="C32" s="78"/>
      <c r="D32" s="78"/>
      <c r="E32" s="81"/>
      <c r="F32" s="67" t="s">
        <v>9</v>
      </c>
      <c r="G32" s="35" t="s">
        <v>5</v>
      </c>
      <c r="H32" s="36"/>
      <c r="I32" s="37">
        <f t="shared" ref="I32:P32" si="10">IFERROR(SUM(I30:I31)/I24,0)</f>
        <v>0</v>
      </c>
      <c r="J32" s="38">
        <f t="shared" si="10"/>
        <v>0</v>
      </c>
      <c r="K32" s="39">
        <f t="shared" si="10"/>
        <v>0</v>
      </c>
      <c r="L32" s="40">
        <f t="shared" si="10"/>
        <v>0</v>
      </c>
      <c r="M32" s="40">
        <f t="shared" si="10"/>
        <v>0</v>
      </c>
      <c r="N32" s="39">
        <f t="shared" si="10"/>
        <v>0</v>
      </c>
      <c r="O32" s="40">
        <f t="shared" si="10"/>
        <v>0</v>
      </c>
      <c r="P32" s="37">
        <f t="shared" si="10"/>
        <v>0</v>
      </c>
      <c r="Q32" s="38">
        <f t="shared" ref="Q32:W32" si="11">IFERROR(SUM(Q30:Q31)/Q24,0)</f>
        <v>0</v>
      </c>
      <c r="R32" s="39">
        <f t="shared" si="11"/>
        <v>0</v>
      </c>
      <c r="S32" s="40">
        <f t="shared" si="11"/>
        <v>0</v>
      </c>
      <c r="T32" s="40">
        <f t="shared" si="11"/>
        <v>0</v>
      </c>
      <c r="U32" s="39">
        <f t="shared" si="11"/>
        <v>0</v>
      </c>
      <c r="V32" s="40">
        <f t="shared" si="11"/>
        <v>0</v>
      </c>
      <c r="W32" s="37">
        <f t="shared" si="11"/>
        <v>0</v>
      </c>
    </row>
    <row r="33" spans="12:26" x14ac:dyDescent="0.25">
      <c r="X33" s="1"/>
      <c r="Y33" s="1"/>
      <c r="Z33" s="1"/>
    </row>
    <row r="34" spans="12:26" x14ac:dyDescent="0.25">
      <c r="X34" s="1"/>
      <c r="Y34" s="1"/>
      <c r="Z34" s="1"/>
    </row>
    <row r="35" spans="12:26" x14ac:dyDescent="0.25">
      <c r="X35" s="1"/>
      <c r="Y35" s="1"/>
      <c r="Z35" s="1"/>
    </row>
    <row r="36" spans="12:26" x14ac:dyDescent="0.25">
      <c r="L36" s="26"/>
      <c r="X36" s="1"/>
      <c r="Y36" s="1"/>
      <c r="Z36" s="1"/>
    </row>
    <row r="37" spans="12:26" x14ac:dyDescent="0.25">
      <c r="X37" s="1"/>
      <c r="Y37" s="1"/>
      <c r="Z37" s="1"/>
    </row>
    <row r="38" spans="12:26" x14ac:dyDescent="0.25">
      <c r="X38" s="1"/>
      <c r="Y38" s="1"/>
      <c r="Z38" s="1"/>
    </row>
    <row r="39" spans="12:26" x14ac:dyDescent="0.25">
      <c r="X39" s="1"/>
      <c r="Y39" s="1"/>
      <c r="Z39" s="1"/>
    </row>
    <row r="40" spans="12:26" x14ac:dyDescent="0.25">
      <c r="X40" s="1"/>
      <c r="Y40" s="1"/>
      <c r="Z40" s="1"/>
    </row>
    <row r="41" spans="12:26" x14ac:dyDescent="0.25">
      <c r="X41" s="1"/>
      <c r="Y41" s="1"/>
      <c r="Z41" s="1"/>
    </row>
    <row r="42" spans="12:26" x14ac:dyDescent="0.25">
      <c r="X42" s="1"/>
      <c r="Y42" s="1"/>
      <c r="Z42" s="1"/>
    </row>
    <row r="43" spans="12:26" x14ac:dyDescent="0.25">
      <c r="X43" s="1"/>
      <c r="Y43" s="1"/>
      <c r="Z43" s="1"/>
    </row>
    <row r="44" spans="12:26" x14ac:dyDescent="0.25">
      <c r="X44" s="1"/>
      <c r="Y44" s="1"/>
      <c r="Z44" s="1"/>
    </row>
    <row r="45" spans="12:26" x14ac:dyDescent="0.25">
      <c r="X45" s="1"/>
      <c r="Y45" s="1"/>
      <c r="Z45" s="1"/>
    </row>
    <row r="46" spans="12:26" x14ac:dyDescent="0.25">
      <c r="X46" s="1"/>
      <c r="Y46" s="1"/>
      <c r="Z46" s="1"/>
    </row>
    <row r="47" spans="12:26" x14ac:dyDescent="0.25">
      <c r="X47" s="1"/>
      <c r="Y47" s="1"/>
      <c r="Z47" s="1"/>
    </row>
    <row r="48" spans="12:26" x14ac:dyDescent="0.25">
      <c r="X48" s="1"/>
      <c r="Y48" s="1"/>
      <c r="Z48" s="1"/>
    </row>
    <row r="49" spans="24:26" x14ac:dyDescent="0.25">
      <c r="X49" s="1"/>
      <c r="Y49" s="1"/>
      <c r="Z49" s="1"/>
    </row>
    <row r="50" spans="24:26" x14ac:dyDescent="0.25">
      <c r="X50" s="1"/>
      <c r="Y50" s="1"/>
      <c r="Z50" s="1"/>
    </row>
    <row r="51" spans="24:26" x14ac:dyDescent="0.25">
      <c r="X51" s="1"/>
      <c r="Y51" s="1"/>
      <c r="Z51" s="1"/>
    </row>
    <row r="52" spans="24:26" x14ac:dyDescent="0.25">
      <c r="X52" s="1"/>
      <c r="Y52" s="1"/>
      <c r="Z52" s="1"/>
    </row>
    <row r="53" spans="24:26" x14ac:dyDescent="0.25">
      <c r="X53" s="1"/>
      <c r="Y53" s="1"/>
      <c r="Z53" s="1"/>
    </row>
    <row r="54" spans="24:26" x14ac:dyDescent="0.25">
      <c r="X54" s="1"/>
      <c r="Y54" s="1"/>
      <c r="Z54" s="1"/>
    </row>
    <row r="55" spans="24:26" x14ac:dyDescent="0.25">
      <c r="X55" s="1"/>
      <c r="Y55" s="1"/>
      <c r="Z55" s="1"/>
    </row>
    <row r="56" spans="24:26" x14ac:dyDescent="0.25">
      <c r="X56" s="1"/>
      <c r="Y56" s="1"/>
      <c r="Z56" s="1"/>
    </row>
    <row r="57" spans="24:26" x14ac:dyDescent="0.25">
      <c r="X57" s="1"/>
      <c r="Y57" s="1"/>
      <c r="Z57" s="1"/>
    </row>
    <row r="58" spans="24:26" x14ac:dyDescent="0.25">
      <c r="X58" s="1"/>
      <c r="Y58" s="1"/>
      <c r="Z58" s="1"/>
    </row>
  </sheetData>
  <mergeCells count="13">
    <mergeCell ref="Q2:W2"/>
    <mergeCell ref="H1:I1"/>
    <mergeCell ref="A1:G1"/>
    <mergeCell ref="J2:P2"/>
    <mergeCell ref="B3:B32"/>
    <mergeCell ref="C3:C32"/>
    <mergeCell ref="D3:D12"/>
    <mergeCell ref="D13:D22"/>
    <mergeCell ref="D23:D32"/>
    <mergeCell ref="E23:E32"/>
    <mergeCell ref="E13:E22"/>
    <mergeCell ref="E3:E12"/>
    <mergeCell ref="A3:A32"/>
  </mergeCells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10EB4-16B2-4E18-9F1B-277DA7BA5C6A}">
  <sheetPr codeName="Лист2"/>
  <dimension ref="A1:Q38"/>
  <sheetViews>
    <sheetView zoomScale="70" zoomScaleNormal="70" workbookViewId="0">
      <pane xSplit="9" ySplit="2" topLeftCell="J3" activePane="bottomRight" state="frozen"/>
      <selection pane="topRight" activeCell="I1" sqref="I1"/>
      <selection pane="bottomLeft" activeCell="A3" sqref="A3"/>
      <selection pane="bottomRight" sqref="A1:G1"/>
    </sheetView>
  </sheetViews>
  <sheetFormatPr defaultRowHeight="15" x14ac:dyDescent="0.25"/>
  <cols>
    <col min="1" max="1" width="11.7109375" style="11" customWidth="1"/>
    <col min="2" max="2" width="22.42578125" style="42" customWidth="1"/>
    <col min="3" max="3" width="34.7109375" style="42" customWidth="1"/>
    <col min="4" max="4" width="24.85546875" style="42" customWidth="1"/>
    <col min="5" max="5" width="19.140625" style="42" customWidth="1"/>
    <col min="6" max="6" width="40.7109375" style="2" customWidth="1"/>
    <col min="7" max="8" width="11.7109375" style="1" customWidth="1"/>
    <col min="9" max="9" width="15.28515625" style="1" customWidth="1"/>
    <col min="10" max="11" width="14.5703125" style="1" customWidth="1"/>
    <col min="12" max="16" width="11.7109375" customWidth="1"/>
    <col min="17" max="17" width="17" customWidth="1"/>
  </cols>
  <sheetData>
    <row r="1" spans="1:11" ht="67.5" customHeight="1" thickBot="1" x14ac:dyDescent="0.3">
      <c r="A1" s="82" t="s">
        <v>24</v>
      </c>
      <c r="B1" s="83"/>
      <c r="C1" s="83"/>
      <c r="D1" s="83"/>
      <c r="E1" s="83"/>
      <c r="F1" s="75"/>
      <c r="G1" s="84"/>
      <c r="H1" s="72" t="s">
        <v>10</v>
      </c>
      <c r="I1" s="73"/>
      <c r="J1" s="50">
        <v>1</v>
      </c>
      <c r="K1" s="50">
        <v>2</v>
      </c>
    </row>
    <row r="2" spans="1:11" ht="22.5" customHeight="1" thickBot="1" x14ac:dyDescent="0.3">
      <c r="A2" s="61" t="s">
        <v>16</v>
      </c>
      <c r="B2" s="61" t="s">
        <v>15</v>
      </c>
      <c r="C2" s="61" t="s">
        <v>14</v>
      </c>
      <c r="D2" s="61" t="s">
        <v>0</v>
      </c>
      <c r="E2" s="63" t="s">
        <v>4</v>
      </c>
      <c r="F2" s="62"/>
      <c r="G2" s="3"/>
      <c r="H2" s="25"/>
      <c r="I2" s="4"/>
      <c r="J2" s="51" t="s">
        <v>26</v>
      </c>
      <c r="K2" s="51" t="s">
        <v>26</v>
      </c>
    </row>
    <row r="3" spans="1:11" s="8" customFormat="1" x14ac:dyDescent="0.25">
      <c r="A3" s="76">
        <v>1</v>
      </c>
      <c r="B3" s="76"/>
      <c r="C3" s="76"/>
      <c r="D3" s="76" t="s">
        <v>11</v>
      </c>
      <c r="E3" s="79"/>
      <c r="F3" s="64" t="s">
        <v>3</v>
      </c>
      <c r="G3" s="5" t="s">
        <v>6</v>
      </c>
      <c r="H3" s="7"/>
      <c r="I3" s="27">
        <f>SUM(J3:INDEX(3:3, MATCH(9.99999999999999E+307, 1:1, 1)))</f>
        <v>0</v>
      </c>
      <c r="J3" s="52"/>
      <c r="K3" s="52"/>
    </row>
    <row r="4" spans="1:11" s="8" customFormat="1" x14ac:dyDescent="0.25">
      <c r="A4" s="77"/>
      <c r="B4" s="77"/>
      <c r="C4" s="77"/>
      <c r="D4" s="77"/>
      <c r="E4" s="80"/>
      <c r="F4" s="65" t="s">
        <v>1</v>
      </c>
      <c r="G4" s="6" t="s">
        <v>6</v>
      </c>
      <c r="H4" s="9"/>
      <c r="I4" s="28">
        <f>SUM(J4:INDEX(4:4, MATCH(9.99999999999999E+307, 1:1, 1)))</f>
        <v>0</v>
      </c>
      <c r="J4" s="53"/>
      <c r="K4" s="53"/>
    </row>
    <row r="5" spans="1:11" s="8" customFormat="1" x14ac:dyDescent="0.25">
      <c r="A5" s="77"/>
      <c r="B5" s="77"/>
      <c r="C5" s="77"/>
      <c r="D5" s="77"/>
      <c r="E5" s="80"/>
      <c r="F5" s="65" t="s">
        <v>2</v>
      </c>
      <c r="G5" s="6" t="s">
        <v>6</v>
      </c>
      <c r="H5" s="9"/>
      <c r="I5" s="28" t="s">
        <v>25</v>
      </c>
      <c r="J5" s="53"/>
      <c r="K5" s="53"/>
    </row>
    <row r="6" spans="1:11" s="8" customFormat="1" x14ac:dyDescent="0.25">
      <c r="A6" s="77"/>
      <c r="B6" s="77"/>
      <c r="C6" s="77"/>
      <c r="D6" s="77"/>
      <c r="E6" s="80"/>
      <c r="F6" s="65" t="s">
        <v>7</v>
      </c>
      <c r="G6" s="6" t="s">
        <v>6</v>
      </c>
      <c r="H6" s="9"/>
      <c r="I6" s="28" t="s">
        <v>25</v>
      </c>
      <c r="J6" s="53"/>
      <c r="K6" s="53"/>
    </row>
    <row r="7" spans="1:11" s="8" customFormat="1" x14ac:dyDescent="0.25">
      <c r="A7" s="77"/>
      <c r="B7" s="77"/>
      <c r="C7" s="77"/>
      <c r="D7" s="77"/>
      <c r="E7" s="80"/>
      <c r="F7" s="65" t="s">
        <v>19</v>
      </c>
      <c r="G7" s="6" t="s">
        <v>6</v>
      </c>
      <c r="H7" s="9"/>
      <c r="I7" s="28">
        <f>SUM(J7:INDEX(7:7, MATCH(9.99999999999999E+307, 1:1, 1)))</f>
        <v>0</v>
      </c>
      <c r="J7" s="53"/>
      <c r="K7" s="53"/>
    </row>
    <row r="8" spans="1:11" s="8" customFormat="1" x14ac:dyDescent="0.25">
      <c r="A8" s="77"/>
      <c r="B8" s="77"/>
      <c r="C8" s="77"/>
      <c r="D8" s="77"/>
      <c r="E8" s="80"/>
      <c r="F8" s="65" t="s">
        <v>20</v>
      </c>
      <c r="G8" s="6" t="s">
        <v>6</v>
      </c>
      <c r="H8" s="9"/>
      <c r="I8" s="28">
        <f>SUM(J8:INDEX(8:8, MATCH(9.99999999999999E+307, 1:1, 1)))</f>
        <v>0</v>
      </c>
      <c r="J8" s="53"/>
      <c r="K8" s="53"/>
    </row>
    <row r="9" spans="1:11" s="44" customFormat="1" x14ac:dyDescent="0.25">
      <c r="A9" s="77"/>
      <c r="B9" s="77"/>
      <c r="C9" s="77"/>
      <c r="D9" s="77"/>
      <c r="E9" s="80"/>
      <c r="F9" s="66" t="s">
        <v>8</v>
      </c>
      <c r="G9" s="20" t="s">
        <v>5</v>
      </c>
      <c r="H9" s="21"/>
      <c r="I9" s="34">
        <f>IFERROR(SUM(I7:I8)/I4,0)</f>
        <v>0</v>
      </c>
      <c r="J9" s="54">
        <f t="shared" ref="J9:K9" si="0">IFERROR(SUM(J7:J8)/J4,0)</f>
        <v>0</v>
      </c>
      <c r="K9" s="54">
        <f t="shared" si="0"/>
        <v>0</v>
      </c>
    </row>
    <row r="10" spans="1:11" s="46" customFormat="1" x14ac:dyDescent="0.25">
      <c r="A10" s="77"/>
      <c r="B10" s="77"/>
      <c r="C10" s="77"/>
      <c r="D10" s="77"/>
      <c r="E10" s="80"/>
      <c r="F10" s="65" t="s">
        <v>21</v>
      </c>
      <c r="G10" s="6" t="s">
        <v>6</v>
      </c>
      <c r="H10" s="45"/>
      <c r="I10" s="28">
        <f>SUM(J10:INDEX(10:10, MATCH(9.99999999999999E+307, 1:1, 1)))</f>
        <v>0</v>
      </c>
      <c r="J10" s="55"/>
      <c r="K10" s="55"/>
    </row>
    <row r="11" spans="1:11" s="46" customFormat="1" x14ac:dyDescent="0.25">
      <c r="A11" s="77"/>
      <c r="B11" s="77"/>
      <c r="C11" s="77"/>
      <c r="D11" s="77"/>
      <c r="E11" s="80"/>
      <c r="F11" s="65" t="s">
        <v>22</v>
      </c>
      <c r="G11" s="6" t="s">
        <v>6</v>
      </c>
      <c r="H11" s="45"/>
      <c r="I11" s="28">
        <f>SUM(J11:INDEX(11:11, MATCH(9.99999999999999E+307, 1:1, 1)))</f>
        <v>0</v>
      </c>
      <c r="J11" s="55"/>
      <c r="K11" s="55"/>
    </row>
    <row r="12" spans="1:11" s="41" customFormat="1" ht="15.75" thickBot="1" x14ac:dyDescent="0.3">
      <c r="A12" s="77"/>
      <c r="B12" s="77"/>
      <c r="C12" s="77"/>
      <c r="D12" s="78"/>
      <c r="E12" s="81"/>
      <c r="F12" s="67" t="s">
        <v>9</v>
      </c>
      <c r="G12" s="35" t="s">
        <v>5</v>
      </c>
      <c r="H12" s="36"/>
      <c r="I12" s="37">
        <f>IFERROR(SUM(I10:I11)/I4,0)</f>
        <v>0</v>
      </c>
      <c r="J12" s="56">
        <f>IFERROR(SUM(J10:J11)/J4,0)</f>
        <v>0</v>
      </c>
      <c r="K12" s="56">
        <f>IFERROR(SUM(K10:K11)/K4,0)</f>
        <v>0</v>
      </c>
    </row>
    <row r="13" spans="1:11" s="8" customFormat="1" x14ac:dyDescent="0.25">
      <c r="A13" s="77"/>
      <c r="B13" s="77"/>
      <c r="C13" s="77"/>
      <c r="D13" s="76" t="s">
        <v>12</v>
      </c>
      <c r="E13" s="79"/>
      <c r="F13" s="64" t="s">
        <v>3</v>
      </c>
      <c r="G13" s="5" t="s">
        <v>6</v>
      </c>
      <c r="H13" s="7"/>
      <c r="I13" s="27">
        <f>SUM(J13:INDEX(13:13, MATCH(9.99999999999999E+307, 1:1, 1)))</f>
        <v>0</v>
      </c>
      <c r="J13" s="52"/>
      <c r="K13" s="52"/>
    </row>
    <row r="14" spans="1:11" s="8" customFormat="1" x14ac:dyDescent="0.25">
      <c r="A14" s="77"/>
      <c r="B14" s="77"/>
      <c r="C14" s="77"/>
      <c r="D14" s="77"/>
      <c r="E14" s="80"/>
      <c r="F14" s="65" t="s">
        <v>1</v>
      </c>
      <c r="G14" s="6" t="s">
        <v>6</v>
      </c>
      <c r="H14" s="9"/>
      <c r="I14" s="28">
        <f>SUM(J14:INDEX(14:14, MATCH(9.99999999999999E+307, 1:1, 1)))</f>
        <v>0</v>
      </c>
      <c r="J14" s="53"/>
      <c r="K14" s="53"/>
    </row>
    <row r="15" spans="1:11" s="8" customFormat="1" x14ac:dyDescent="0.25">
      <c r="A15" s="77"/>
      <c r="B15" s="77"/>
      <c r="C15" s="77"/>
      <c r="D15" s="77"/>
      <c r="E15" s="80"/>
      <c r="F15" s="65" t="s">
        <v>2</v>
      </c>
      <c r="G15" s="6" t="s">
        <v>6</v>
      </c>
      <c r="H15" s="9"/>
      <c r="I15" s="28" t="s">
        <v>25</v>
      </c>
      <c r="J15" s="53"/>
      <c r="K15" s="53"/>
    </row>
    <row r="16" spans="1:11" s="8" customFormat="1" x14ac:dyDescent="0.25">
      <c r="A16" s="77"/>
      <c r="B16" s="77"/>
      <c r="C16" s="77"/>
      <c r="D16" s="77"/>
      <c r="E16" s="80"/>
      <c r="F16" s="65" t="s">
        <v>7</v>
      </c>
      <c r="G16" s="6" t="s">
        <v>6</v>
      </c>
      <c r="H16" s="9"/>
      <c r="I16" s="28" t="s">
        <v>25</v>
      </c>
      <c r="J16" s="53"/>
      <c r="K16" s="53"/>
    </row>
    <row r="17" spans="1:11" s="8" customFormat="1" x14ac:dyDescent="0.25">
      <c r="A17" s="77"/>
      <c r="B17" s="77"/>
      <c r="C17" s="77"/>
      <c r="D17" s="77"/>
      <c r="E17" s="80"/>
      <c r="F17" s="65" t="s">
        <v>19</v>
      </c>
      <c r="G17" s="6" t="s">
        <v>6</v>
      </c>
      <c r="H17" s="9"/>
      <c r="I17" s="28">
        <f>SUM(J17:INDEX(17:17, MATCH(9.99999999999999E+307, 1:1, 1)))</f>
        <v>0</v>
      </c>
      <c r="J17" s="53"/>
      <c r="K17" s="53"/>
    </row>
    <row r="18" spans="1:11" s="8" customFormat="1" x14ac:dyDescent="0.25">
      <c r="A18" s="77"/>
      <c r="B18" s="77"/>
      <c r="C18" s="77"/>
      <c r="D18" s="77"/>
      <c r="E18" s="80"/>
      <c r="F18" s="65" t="s">
        <v>20</v>
      </c>
      <c r="G18" s="6" t="s">
        <v>6</v>
      </c>
      <c r="H18" s="9"/>
      <c r="I18" s="28">
        <f>SUM(J18:INDEX(18:18, MATCH(9.99999999999999E+307, 1:1, 1)))</f>
        <v>0</v>
      </c>
      <c r="J18" s="53"/>
      <c r="K18" s="53"/>
    </row>
    <row r="19" spans="1:11" s="44" customFormat="1" x14ac:dyDescent="0.25">
      <c r="A19" s="77"/>
      <c r="B19" s="77"/>
      <c r="C19" s="77"/>
      <c r="D19" s="77"/>
      <c r="E19" s="80"/>
      <c r="F19" s="66" t="s">
        <v>8</v>
      </c>
      <c r="G19" s="20" t="s">
        <v>5</v>
      </c>
      <c r="H19" s="21"/>
      <c r="I19" s="34">
        <f>IFERROR(SUM(I17:I18)/I14,0)</f>
        <v>0</v>
      </c>
      <c r="J19" s="54">
        <f t="shared" ref="J19:K19" si="1">IFERROR(SUM(J17:J18)/J14,0)</f>
        <v>0</v>
      </c>
      <c r="K19" s="54">
        <f t="shared" si="1"/>
        <v>0</v>
      </c>
    </row>
    <row r="20" spans="1:11" s="46" customFormat="1" x14ac:dyDescent="0.25">
      <c r="A20" s="77"/>
      <c r="B20" s="77"/>
      <c r="C20" s="77"/>
      <c r="D20" s="77"/>
      <c r="E20" s="80"/>
      <c r="F20" s="65" t="s">
        <v>21</v>
      </c>
      <c r="G20" s="6" t="s">
        <v>6</v>
      </c>
      <c r="H20" s="45"/>
      <c r="I20" s="28">
        <f>SUM(J20:INDEX(20:20, MATCH(9.99999999999999E+307, 1:1, 1)))</f>
        <v>0</v>
      </c>
      <c r="J20" s="55"/>
      <c r="K20" s="55"/>
    </row>
    <row r="21" spans="1:11" s="46" customFormat="1" x14ac:dyDescent="0.25">
      <c r="A21" s="77"/>
      <c r="B21" s="77"/>
      <c r="C21" s="77"/>
      <c r="D21" s="77"/>
      <c r="E21" s="80"/>
      <c r="F21" s="65" t="s">
        <v>22</v>
      </c>
      <c r="G21" s="6" t="s">
        <v>6</v>
      </c>
      <c r="H21" s="45"/>
      <c r="I21" s="28">
        <f>SUM(J21:INDEX(21:21, MATCH(9.99999999999999E+307, 1:1, 1)))</f>
        <v>0</v>
      </c>
      <c r="J21" s="55"/>
      <c r="K21" s="55"/>
    </row>
    <row r="22" spans="1:11" s="41" customFormat="1" ht="15.75" thickBot="1" x14ac:dyDescent="0.3">
      <c r="A22" s="77"/>
      <c r="B22" s="77"/>
      <c r="C22" s="77"/>
      <c r="D22" s="78"/>
      <c r="E22" s="81"/>
      <c r="F22" s="67" t="s">
        <v>9</v>
      </c>
      <c r="G22" s="35" t="s">
        <v>5</v>
      </c>
      <c r="H22" s="36"/>
      <c r="I22" s="37">
        <f t="shared" ref="I22" si="2">IFERROR(SUM(I20:I21)/I14,0)</f>
        <v>0</v>
      </c>
      <c r="J22" s="56">
        <f t="shared" ref="J22:K22" si="3">IFERROR(SUM(J20:J21)/J14,0)</f>
        <v>0</v>
      </c>
      <c r="K22" s="56">
        <f t="shared" si="3"/>
        <v>0</v>
      </c>
    </row>
    <row r="23" spans="1:11" s="8" customFormat="1" x14ac:dyDescent="0.25">
      <c r="A23" s="77"/>
      <c r="B23" s="77"/>
      <c r="C23" s="77"/>
      <c r="D23" s="76" t="s">
        <v>13</v>
      </c>
      <c r="E23" s="79"/>
      <c r="F23" s="64" t="s">
        <v>3</v>
      </c>
      <c r="G23" s="5" t="s">
        <v>6</v>
      </c>
      <c r="H23" s="7"/>
      <c r="I23" s="27">
        <f>SUM(J23:INDEX(23:23, MATCH(9.99999999999999E+307, 1:1, 1)))</f>
        <v>0</v>
      </c>
      <c r="J23" s="52"/>
      <c r="K23" s="52"/>
    </row>
    <row r="24" spans="1:11" s="8" customFormat="1" x14ac:dyDescent="0.25">
      <c r="A24" s="77"/>
      <c r="B24" s="77"/>
      <c r="C24" s="77"/>
      <c r="D24" s="77"/>
      <c r="E24" s="80"/>
      <c r="F24" s="65" t="s">
        <v>1</v>
      </c>
      <c r="G24" s="6" t="s">
        <v>6</v>
      </c>
      <c r="H24" s="9"/>
      <c r="I24" s="28">
        <f>SUM(J24:INDEX(24:24, MATCH(9.99999999999999E+307, 1:1, 1)))</f>
        <v>0</v>
      </c>
      <c r="J24" s="53"/>
      <c r="K24" s="53"/>
    </row>
    <row r="25" spans="1:11" s="8" customFormat="1" x14ac:dyDescent="0.25">
      <c r="A25" s="77"/>
      <c r="B25" s="77"/>
      <c r="C25" s="77"/>
      <c r="D25" s="77"/>
      <c r="E25" s="80"/>
      <c r="F25" s="65" t="s">
        <v>2</v>
      </c>
      <c r="G25" s="6" t="s">
        <v>6</v>
      </c>
      <c r="H25" s="9"/>
      <c r="I25" s="28" t="s">
        <v>25</v>
      </c>
      <c r="J25" s="53"/>
      <c r="K25" s="53"/>
    </row>
    <row r="26" spans="1:11" s="8" customFormat="1" x14ac:dyDescent="0.25">
      <c r="A26" s="77"/>
      <c r="B26" s="77"/>
      <c r="C26" s="77"/>
      <c r="D26" s="77"/>
      <c r="E26" s="80"/>
      <c r="F26" s="65" t="s">
        <v>7</v>
      </c>
      <c r="G26" s="6" t="s">
        <v>6</v>
      </c>
      <c r="H26" s="9"/>
      <c r="I26" s="28" t="s">
        <v>25</v>
      </c>
      <c r="J26" s="53"/>
      <c r="K26" s="53"/>
    </row>
    <row r="27" spans="1:11" s="8" customFormat="1" x14ac:dyDescent="0.25">
      <c r="A27" s="77"/>
      <c r="B27" s="77"/>
      <c r="C27" s="77"/>
      <c r="D27" s="77"/>
      <c r="E27" s="80"/>
      <c r="F27" s="65" t="s">
        <v>19</v>
      </c>
      <c r="G27" s="6" t="s">
        <v>6</v>
      </c>
      <c r="H27" s="9"/>
      <c r="I27" s="28">
        <f>SUM(J27:INDEX(27:27, MATCH(9.99999999999999E+307, 1:1, 1)))</f>
        <v>0</v>
      </c>
      <c r="J27" s="53"/>
      <c r="K27" s="53"/>
    </row>
    <row r="28" spans="1:11" s="8" customFormat="1" x14ac:dyDescent="0.25">
      <c r="A28" s="77"/>
      <c r="B28" s="77"/>
      <c r="C28" s="77"/>
      <c r="D28" s="77"/>
      <c r="E28" s="80"/>
      <c r="F28" s="65" t="s">
        <v>20</v>
      </c>
      <c r="G28" s="6" t="s">
        <v>6</v>
      </c>
      <c r="H28" s="9"/>
      <c r="I28" s="28">
        <f>SUM(J28:INDEX(28:28, MATCH(9.99999999999999E+307, 1:1, 1)))</f>
        <v>0</v>
      </c>
      <c r="J28" s="53"/>
      <c r="K28" s="53"/>
    </row>
    <row r="29" spans="1:11" s="44" customFormat="1" x14ac:dyDescent="0.25">
      <c r="A29" s="77"/>
      <c r="B29" s="77"/>
      <c r="C29" s="77"/>
      <c r="D29" s="77"/>
      <c r="E29" s="80"/>
      <c r="F29" s="66" t="s">
        <v>8</v>
      </c>
      <c r="G29" s="20" t="s">
        <v>5</v>
      </c>
      <c r="H29" s="21"/>
      <c r="I29" s="34">
        <f>IFERROR(SUM(I27:I28)/I24,0)</f>
        <v>0</v>
      </c>
      <c r="J29" s="54">
        <f t="shared" ref="J29:K29" si="4">IFERROR(SUM(J27:J28)/J24,0)</f>
        <v>0</v>
      </c>
      <c r="K29" s="54">
        <f t="shared" si="4"/>
        <v>0</v>
      </c>
    </row>
    <row r="30" spans="1:11" s="46" customFormat="1" x14ac:dyDescent="0.25">
      <c r="A30" s="77"/>
      <c r="B30" s="77"/>
      <c r="C30" s="77"/>
      <c r="D30" s="77"/>
      <c r="E30" s="80"/>
      <c r="F30" s="65" t="s">
        <v>21</v>
      </c>
      <c r="G30" s="6" t="s">
        <v>6</v>
      </c>
      <c r="H30" s="45"/>
      <c r="I30" s="28">
        <f>SUM(J30:INDEX(30:30, MATCH(9.99999999999999E+307, 1:1, 1)))</f>
        <v>0</v>
      </c>
      <c r="J30" s="55"/>
      <c r="K30" s="55"/>
    </row>
    <row r="31" spans="1:11" s="46" customFormat="1" x14ac:dyDescent="0.25">
      <c r="A31" s="77"/>
      <c r="B31" s="77"/>
      <c r="C31" s="77"/>
      <c r="D31" s="77"/>
      <c r="E31" s="80"/>
      <c r="F31" s="65" t="s">
        <v>22</v>
      </c>
      <c r="G31" s="6" t="s">
        <v>6</v>
      </c>
      <c r="H31" s="45"/>
      <c r="I31" s="28">
        <f>SUM(J31:INDEX(31:31, MATCH(9.99999999999999E+307, 1:1, 1)))</f>
        <v>0</v>
      </c>
      <c r="J31" s="55"/>
      <c r="K31" s="55"/>
    </row>
    <row r="32" spans="1:11" s="41" customFormat="1" ht="15.75" thickBot="1" x14ac:dyDescent="0.3">
      <c r="A32" s="78"/>
      <c r="B32" s="78"/>
      <c r="C32" s="78"/>
      <c r="D32" s="78"/>
      <c r="E32" s="81"/>
      <c r="F32" s="67" t="s">
        <v>9</v>
      </c>
      <c r="G32" s="35" t="s">
        <v>5</v>
      </c>
      <c r="H32" s="36"/>
      <c r="I32" s="37">
        <f t="shared" ref="I32" si="5">IFERROR(SUM(I30:I31)/I24,0)</f>
        <v>0</v>
      </c>
      <c r="J32" s="56">
        <f t="shared" ref="J32:K32" si="6">IFERROR(SUM(J30:J31)/J24,0)</f>
        <v>0</v>
      </c>
      <c r="K32" s="56">
        <f t="shared" si="6"/>
        <v>0</v>
      </c>
    </row>
    <row r="38" spans="1:17" x14ac:dyDescent="0.25">
      <c r="A38"/>
      <c r="B38" s="1"/>
      <c r="C38" s="1"/>
      <c r="D38" s="1"/>
      <c r="E38" s="1"/>
      <c r="L38" s="26"/>
      <c r="M38" s="1"/>
      <c r="N38" s="1"/>
      <c r="O38" s="1"/>
      <c r="P38" s="1"/>
      <c r="Q38" s="1"/>
    </row>
  </sheetData>
  <mergeCells count="11">
    <mergeCell ref="A1:G1"/>
    <mergeCell ref="H1:I1"/>
    <mergeCell ref="A3:A32"/>
    <mergeCell ref="B3:B32"/>
    <mergeCell ref="C3:C32"/>
    <mergeCell ref="D3:D12"/>
    <mergeCell ref="E3:E12"/>
    <mergeCell ref="D13:D22"/>
    <mergeCell ref="E13:E22"/>
    <mergeCell ref="D23:D32"/>
    <mergeCell ref="E23:E32"/>
  </mergeCells>
  <phoneticPr fontId="17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E8156-F43C-42FD-9F77-2D720209BEAB}">
  <sheetPr codeName="Лист3"/>
  <dimension ref="A1:Q35"/>
  <sheetViews>
    <sheetView zoomScale="70" zoomScaleNormal="70" workbookViewId="0">
      <pane xSplit="9" ySplit="2" topLeftCell="J3" activePane="bottomRight" state="frozen"/>
      <selection activeCell="F8" sqref="F8"/>
      <selection pane="topRight" activeCell="F8" sqref="F8"/>
      <selection pane="bottomLeft" activeCell="F8" sqref="F8"/>
      <selection pane="bottomRight" sqref="A1:G1"/>
    </sheetView>
  </sheetViews>
  <sheetFormatPr defaultRowHeight="15" x14ac:dyDescent="0.25"/>
  <cols>
    <col min="1" max="1" width="11.7109375" style="11" customWidth="1"/>
    <col min="2" max="2" width="22.42578125" style="42" customWidth="1"/>
    <col min="3" max="3" width="34.7109375" style="42" customWidth="1"/>
    <col min="4" max="4" width="24.85546875" style="42" customWidth="1"/>
    <col min="5" max="5" width="19.140625" style="42" customWidth="1"/>
    <col min="6" max="6" width="40.7109375" style="2" customWidth="1"/>
    <col min="7" max="8" width="11.7109375" style="1" customWidth="1"/>
    <col min="9" max="9" width="15.28515625" style="1" customWidth="1"/>
    <col min="10" max="11" width="14.5703125" style="1" customWidth="1"/>
    <col min="12" max="16" width="11.7109375" customWidth="1"/>
    <col min="17" max="17" width="17" customWidth="1"/>
  </cols>
  <sheetData>
    <row r="1" spans="1:11" ht="67.5" customHeight="1" thickBot="1" x14ac:dyDescent="0.3">
      <c r="A1" s="82" t="s">
        <v>23</v>
      </c>
      <c r="B1" s="83"/>
      <c r="C1" s="83"/>
      <c r="D1" s="83"/>
      <c r="E1" s="83"/>
      <c r="F1" s="75"/>
      <c r="G1" s="84"/>
      <c r="H1" s="72" t="s">
        <v>10</v>
      </c>
      <c r="I1" s="85"/>
      <c r="J1" s="57" t="s">
        <v>27</v>
      </c>
      <c r="K1" s="57" t="s">
        <v>29</v>
      </c>
    </row>
    <row r="2" spans="1:11" ht="22.5" customHeight="1" thickBot="1" x14ac:dyDescent="0.3">
      <c r="A2" s="61" t="s">
        <v>16</v>
      </c>
      <c r="B2" s="61" t="s">
        <v>15</v>
      </c>
      <c r="C2" s="61" t="s">
        <v>14</v>
      </c>
      <c r="D2" s="61" t="s">
        <v>0</v>
      </c>
      <c r="E2" s="63" t="s">
        <v>4</v>
      </c>
      <c r="F2" s="68"/>
      <c r="G2" s="4"/>
      <c r="H2" s="3"/>
      <c r="I2" s="3"/>
      <c r="J2" s="58">
        <v>2025</v>
      </c>
      <c r="K2" s="58">
        <v>2025</v>
      </c>
    </row>
    <row r="3" spans="1:11" x14ac:dyDescent="0.25">
      <c r="A3" s="76">
        <v>1</v>
      </c>
      <c r="B3" s="76"/>
      <c r="C3" s="76"/>
      <c r="D3" s="76" t="s">
        <v>11</v>
      </c>
      <c r="E3" s="79"/>
      <c r="F3" s="64" t="s">
        <v>3</v>
      </c>
      <c r="G3" s="5" t="s">
        <v>6</v>
      </c>
      <c r="H3" s="7"/>
      <c r="I3" s="27">
        <f>SUM(J3:INDEX(3:3, MATCH("яяя", 1:1, 1)))</f>
        <v>0</v>
      </c>
      <c r="J3" s="52"/>
      <c r="K3" s="52"/>
    </row>
    <row r="4" spans="1:11" x14ac:dyDescent="0.25">
      <c r="A4" s="77"/>
      <c r="B4" s="77"/>
      <c r="C4" s="77"/>
      <c r="D4" s="77"/>
      <c r="E4" s="80"/>
      <c r="F4" s="65" t="s">
        <v>1</v>
      </c>
      <c r="G4" s="6" t="s">
        <v>6</v>
      </c>
      <c r="H4" s="9"/>
      <c r="I4" s="28">
        <f>SUM(J4:INDEX(4:4, MATCH("яяя", 1:1, 1)))</f>
        <v>0</v>
      </c>
      <c r="J4" s="53"/>
      <c r="K4" s="53"/>
    </row>
    <row r="5" spans="1:11" x14ac:dyDescent="0.25">
      <c r="A5" s="77"/>
      <c r="B5" s="77"/>
      <c r="C5" s="77"/>
      <c r="D5" s="77"/>
      <c r="E5" s="80"/>
      <c r="F5" s="65" t="s">
        <v>2</v>
      </c>
      <c r="G5" s="6" t="s">
        <v>6</v>
      </c>
      <c r="H5" s="9"/>
      <c r="I5" s="28" t="s">
        <v>25</v>
      </c>
      <c r="J5" s="53"/>
      <c r="K5" s="53"/>
    </row>
    <row r="6" spans="1:11" x14ac:dyDescent="0.25">
      <c r="A6" s="77"/>
      <c r="B6" s="77"/>
      <c r="C6" s="77"/>
      <c r="D6" s="77"/>
      <c r="E6" s="80"/>
      <c r="F6" s="65" t="s">
        <v>7</v>
      </c>
      <c r="G6" s="6" t="s">
        <v>6</v>
      </c>
      <c r="H6" s="9"/>
      <c r="I6" s="28" t="s">
        <v>25</v>
      </c>
      <c r="J6" s="53"/>
      <c r="K6" s="53"/>
    </row>
    <row r="7" spans="1:11" x14ac:dyDescent="0.25">
      <c r="A7" s="77"/>
      <c r="B7" s="77"/>
      <c r="C7" s="77"/>
      <c r="D7" s="77"/>
      <c r="E7" s="80"/>
      <c r="F7" s="65" t="s">
        <v>19</v>
      </c>
      <c r="G7" s="6" t="s">
        <v>6</v>
      </c>
      <c r="H7" s="9"/>
      <c r="I7" s="28">
        <f>SUM(J7:INDEX(7:7, MATCH("яяя", 1:1, 1)))</f>
        <v>0</v>
      </c>
      <c r="J7" s="53"/>
      <c r="K7" s="53"/>
    </row>
    <row r="8" spans="1:11" x14ac:dyDescent="0.25">
      <c r="A8" s="77"/>
      <c r="B8" s="77"/>
      <c r="C8" s="77"/>
      <c r="D8" s="77"/>
      <c r="E8" s="80"/>
      <c r="F8" s="65" t="s">
        <v>20</v>
      </c>
      <c r="G8" s="6" t="s">
        <v>6</v>
      </c>
      <c r="H8" s="9"/>
      <c r="I8" s="28">
        <f>SUM(J8:INDEX(8:8, MATCH("яяя", 1:1, 1)))</f>
        <v>0</v>
      </c>
      <c r="J8" s="53"/>
      <c r="K8" s="53"/>
    </row>
    <row r="9" spans="1:11" x14ac:dyDescent="0.25">
      <c r="A9" s="77"/>
      <c r="B9" s="77"/>
      <c r="C9" s="77"/>
      <c r="D9" s="77"/>
      <c r="E9" s="80"/>
      <c r="F9" s="66" t="s">
        <v>8</v>
      </c>
      <c r="G9" s="20" t="s">
        <v>5</v>
      </c>
      <c r="H9" s="10"/>
      <c r="I9" s="34">
        <f>IFERROR(SUM(I7:I8)/I4,0)</f>
        <v>0</v>
      </c>
      <c r="J9" s="59">
        <f>IFERROR(SUM(J7:J8)/J4,0)</f>
        <v>0</v>
      </c>
      <c r="K9" s="59">
        <f>IFERROR(SUM(K7:K8)/K4,0)</f>
        <v>0</v>
      </c>
    </row>
    <row r="10" spans="1:11" x14ac:dyDescent="0.25">
      <c r="A10" s="77"/>
      <c r="B10" s="77"/>
      <c r="C10" s="77"/>
      <c r="D10" s="77"/>
      <c r="E10" s="80"/>
      <c r="F10" s="65" t="s">
        <v>21</v>
      </c>
      <c r="G10" s="6" t="s">
        <v>6</v>
      </c>
      <c r="H10" s="45"/>
      <c r="I10" s="28">
        <f>SUM(J10:INDEX(10:10, MATCH("яяя", 1:1, 1)))</f>
        <v>0</v>
      </c>
      <c r="J10" s="55"/>
      <c r="K10" s="55"/>
    </row>
    <row r="11" spans="1:11" x14ac:dyDescent="0.25">
      <c r="A11" s="77"/>
      <c r="B11" s="77"/>
      <c r="C11" s="77"/>
      <c r="D11" s="77"/>
      <c r="E11" s="80"/>
      <c r="F11" s="65" t="s">
        <v>22</v>
      </c>
      <c r="G11" s="6" t="s">
        <v>6</v>
      </c>
      <c r="H11" s="45"/>
      <c r="I11" s="28">
        <f>SUM(J11:INDEX(11:11, MATCH("яяя", 1:1, 1)))</f>
        <v>0</v>
      </c>
      <c r="J11" s="55"/>
      <c r="K11" s="55"/>
    </row>
    <row r="12" spans="1:11" ht="15.75" thickBot="1" x14ac:dyDescent="0.3">
      <c r="A12" s="77"/>
      <c r="B12" s="77"/>
      <c r="C12" s="77"/>
      <c r="D12" s="78"/>
      <c r="E12" s="81"/>
      <c r="F12" s="67" t="s">
        <v>9</v>
      </c>
      <c r="G12" s="35" t="s">
        <v>5</v>
      </c>
      <c r="H12" s="43"/>
      <c r="I12" s="37">
        <f>IFERROR(SUM(I10:I11)/I4,0)</f>
        <v>0</v>
      </c>
      <c r="J12" s="60">
        <f t="shared" ref="J12:K12" si="0">IFERROR(SUM(J10:J11)/J4,0)</f>
        <v>0</v>
      </c>
      <c r="K12" s="60">
        <f t="shared" si="0"/>
        <v>0</v>
      </c>
    </row>
    <row r="13" spans="1:11" x14ac:dyDescent="0.25">
      <c r="A13" s="77"/>
      <c r="B13" s="77"/>
      <c r="C13" s="77"/>
      <c r="D13" s="76" t="s">
        <v>12</v>
      </c>
      <c r="E13" s="79"/>
      <c r="F13" s="64" t="s">
        <v>3</v>
      </c>
      <c r="G13" s="5" t="s">
        <v>6</v>
      </c>
      <c r="H13" s="7"/>
      <c r="I13" s="27">
        <f>SUM(J13:INDEX(13:13, MATCH("яяя", 1:1, 1)))</f>
        <v>0</v>
      </c>
      <c r="J13" s="52"/>
      <c r="K13" s="52"/>
    </row>
    <row r="14" spans="1:11" x14ac:dyDescent="0.25">
      <c r="A14" s="77"/>
      <c r="B14" s="77"/>
      <c r="C14" s="77"/>
      <c r="D14" s="77"/>
      <c r="E14" s="80"/>
      <c r="F14" s="65" t="s">
        <v>1</v>
      </c>
      <c r="G14" s="6" t="s">
        <v>6</v>
      </c>
      <c r="H14" s="9"/>
      <c r="I14" s="28">
        <f>SUM(J14:INDEX(14:14, MATCH("яяя", 1:1, 1)))</f>
        <v>0</v>
      </c>
      <c r="J14" s="53"/>
      <c r="K14" s="53"/>
    </row>
    <row r="15" spans="1:11" x14ac:dyDescent="0.25">
      <c r="A15" s="77"/>
      <c r="B15" s="77"/>
      <c r="C15" s="77"/>
      <c r="D15" s="77"/>
      <c r="E15" s="80"/>
      <c r="F15" s="65" t="s">
        <v>2</v>
      </c>
      <c r="G15" s="6" t="s">
        <v>6</v>
      </c>
      <c r="H15" s="9"/>
      <c r="I15" s="28" t="s">
        <v>25</v>
      </c>
      <c r="J15" s="53"/>
      <c r="K15" s="53"/>
    </row>
    <row r="16" spans="1:11" x14ac:dyDescent="0.25">
      <c r="A16" s="77"/>
      <c r="B16" s="77"/>
      <c r="C16" s="77"/>
      <c r="D16" s="77"/>
      <c r="E16" s="80"/>
      <c r="F16" s="65" t="s">
        <v>7</v>
      </c>
      <c r="G16" s="6" t="s">
        <v>6</v>
      </c>
      <c r="H16" s="9"/>
      <c r="I16" s="28" t="s">
        <v>25</v>
      </c>
      <c r="J16" s="53"/>
      <c r="K16" s="53"/>
    </row>
    <row r="17" spans="1:11" x14ac:dyDescent="0.25">
      <c r="A17" s="77"/>
      <c r="B17" s="77"/>
      <c r="C17" s="77"/>
      <c r="D17" s="77"/>
      <c r="E17" s="80"/>
      <c r="F17" s="65" t="s">
        <v>19</v>
      </c>
      <c r="G17" s="6" t="s">
        <v>6</v>
      </c>
      <c r="H17" s="9"/>
      <c r="I17" s="28">
        <f>SUM(J17:INDEX(17:17, MATCH("яяя", 1:1, 1)))</f>
        <v>0</v>
      </c>
      <c r="J17" s="53"/>
      <c r="K17" s="53"/>
    </row>
    <row r="18" spans="1:11" x14ac:dyDescent="0.25">
      <c r="A18" s="77"/>
      <c r="B18" s="77"/>
      <c r="C18" s="77"/>
      <c r="D18" s="77"/>
      <c r="E18" s="80"/>
      <c r="F18" s="65" t="s">
        <v>20</v>
      </c>
      <c r="G18" s="6" t="s">
        <v>6</v>
      </c>
      <c r="H18" s="9"/>
      <c r="I18" s="28">
        <f>SUM(J18:INDEX(18:18, MATCH("яяя", 1:1, 1)))</f>
        <v>0</v>
      </c>
      <c r="J18" s="53"/>
      <c r="K18" s="53"/>
    </row>
    <row r="19" spans="1:11" x14ac:dyDescent="0.25">
      <c r="A19" s="77"/>
      <c r="B19" s="77"/>
      <c r="C19" s="77"/>
      <c r="D19" s="77"/>
      <c r="E19" s="80"/>
      <c r="F19" s="66" t="s">
        <v>8</v>
      </c>
      <c r="G19" s="20" t="s">
        <v>5</v>
      </c>
      <c r="H19" s="10"/>
      <c r="I19" s="34">
        <f>IFERROR(SUM(I17:I18)/I14,0)</f>
        <v>0</v>
      </c>
      <c r="J19" s="59">
        <f>IFERROR(SUM(J17:J18)/J14,0)</f>
        <v>0</v>
      </c>
      <c r="K19" s="59">
        <f>IFERROR(SUM(K17:K18)/K14,0)</f>
        <v>0</v>
      </c>
    </row>
    <row r="20" spans="1:11" x14ac:dyDescent="0.25">
      <c r="A20" s="77"/>
      <c r="B20" s="77"/>
      <c r="C20" s="77"/>
      <c r="D20" s="77"/>
      <c r="E20" s="80"/>
      <c r="F20" s="65" t="s">
        <v>21</v>
      </c>
      <c r="G20" s="6" t="s">
        <v>6</v>
      </c>
      <c r="H20" s="45"/>
      <c r="I20" s="28">
        <f>SUM(J20:INDEX(20:20, MATCH("яяя", 1:1, 1)))</f>
        <v>0</v>
      </c>
      <c r="J20" s="55"/>
      <c r="K20" s="55"/>
    </row>
    <row r="21" spans="1:11" x14ac:dyDescent="0.25">
      <c r="A21" s="77"/>
      <c r="B21" s="77"/>
      <c r="C21" s="77"/>
      <c r="D21" s="77"/>
      <c r="E21" s="80"/>
      <c r="F21" s="65" t="s">
        <v>22</v>
      </c>
      <c r="G21" s="6" t="s">
        <v>6</v>
      </c>
      <c r="H21" s="45"/>
      <c r="I21" s="28">
        <f>SUM(J21:INDEX(21:21, MATCH("яяя", 1:1, 1)))</f>
        <v>0</v>
      </c>
      <c r="J21" s="55"/>
      <c r="K21" s="55"/>
    </row>
    <row r="22" spans="1:11" ht="15.75" thickBot="1" x14ac:dyDescent="0.3">
      <c r="A22" s="77"/>
      <c r="B22" s="77"/>
      <c r="C22" s="77"/>
      <c r="D22" s="78"/>
      <c r="E22" s="81"/>
      <c r="F22" s="67" t="s">
        <v>9</v>
      </c>
      <c r="G22" s="35" t="s">
        <v>5</v>
      </c>
      <c r="H22" s="43"/>
      <c r="I22" s="37">
        <f t="shared" ref="I22" si="1">IFERROR(SUM(I20:I21)/I14,0)</f>
        <v>0</v>
      </c>
      <c r="J22" s="60">
        <f t="shared" ref="J22:K22" si="2">IFERROR(SUM(J20:J21)/J14,0)</f>
        <v>0</v>
      </c>
      <c r="K22" s="60">
        <f t="shared" si="2"/>
        <v>0</v>
      </c>
    </row>
    <row r="23" spans="1:11" x14ac:dyDescent="0.25">
      <c r="A23" s="77"/>
      <c r="B23" s="77"/>
      <c r="C23" s="77"/>
      <c r="D23" s="76" t="s">
        <v>13</v>
      </c>
      <c r="E23" s="79"/>
      <c r="F23" s="64" t="s">
        <v>3</v>
      </c>
      <c r="G23" s="5" t="s">
        <v>6</v>
      </c>
      <c r="H23" s="7"/>
      <c r="I23" s="27">
        <f>SUM(J23:INDEX(23:23, MATCH("яяя", 1:1, 1)))</f>
        <v>0</v>
      </c>
      <c r="J23" s="52"/>
      <c r="K23" s="52"/>
    </row>
    <row r="24" spans="1:11" x14ac:dyDescent="0.25">
      <c r="A24" s="77"/>
      <c r="B24" s="77"/>
      <c r="C24" s="77"/>
      <c r="D24" s="77"/>
      <c r="E24" s="80"/>
      <c r="F24" s="65" t="s">
        <v>1</v>
      </c>
      <c r="G24" s="6" t="s">
        <v>6</v>
      </c>
      <c r="H24" s="9"/>
      <c r="I24" s="28">
        <f>SUM(J24:INDEX(24:24, MATCH("яяя", 1:1, 1)))</f>
        <v>0</v>
      </c>
      <c r="J24" s="53"/>
      <c r="K24" s="53"/>
    </row>
    <row r="25" spans="1:11" x14ac:dyDescent="0.25">
      <c r="A25" s="77"/>
      <c r="B25" s="77"/>
      <c r="C25" s="77"/>
      <c r="D25" s="77"/>
      <c r="E25" s="80"/>
      <c r="F25" s="65" t="s">
        <v>2</v>
      </c>
      <c r="G25" s="6" t="s">
        <v>6</v>
      </c>
      <c r="H25" s="9"/>
      <c r="I25" s="28" t="s">
        <v>25</v>
      </c>
      <c r="J25" s="53"/>
      <c r="K25" s="53"/>
    </row>
    <row r="26" spans="1:11" x14ac:dyDescent="0.25">
      <c r="A26" s="77"/>
      <c r="B26" s="77"/>
      <c r="C26" s="77"/>
      <c r="D26" s="77"/>
      <c r="E26" s="80"/>
      <c r="F26" s="65" t="s">
        <v>7</v>
      </c>
      <c r="G26" s="6" t="s">
        <v>6</v>
      </c>
      <c r="H26" s="9"/>
      <c r="I26" s="28" t="s">
        <v>25</v>
      </c>
      <c r="J26" s="53"/>
      <c r="K26" s="53"/>
    </row>
    <row r="27" spans="1:11" x14ac:dyDescent="0.25">
      <c r="A27" s="77"/>
      <c r="B27" s="77"/>
      <c r="C27" s="77"/>
      <c r="D27" s="77"/>
      <c r="E27" s="80"/>
      <c r="F27" s="65" t="s">
        <v>19</v>
      </c>
      <c r="G27" s="6" t="s">
        <v>6</v>
      </c>
      <c r="H27" s="9"/>
      <c r="I27" s="28">
        <f>SUM(J27:INDEX(27:27, MATCH("яяя", 1:1, 1)))</f>
        <v>0</v>
      </c>
      <c r="J27" s="53"/>
      <c r="K27" s="53"/>
    </row>
    <row r="28" spans="1:11" x14ac:dyDescent="0.25">
      <c r="A28" s="77"/>
      <c r="B28" s="77"/>
      <c r="C28" s="77"/>
      <c r="D28" s="77"/>
      <c r="E28" s="80"/>
      <c r="F28" s="65" t="s">
        <v>20</v>
      </c>
      <c r="G28" s="6" t="s">
        <v>6</v>
      </c>
      <c r="H28" s="9"/>
      <c r="I28" s="28">
        <f>SUM(J28:INDEX(28:28, MATCH("яяя", 1:1, 1)))</f>
        <v>0</v>
      </c>
      <c r="J28" s="53"/>
      <c r="K28" s="53"/>
    </row>
    <row r="29" spans="1:11" x14ac:dyDescent="0.25">
      <c r="A29" s="77"/>
      <c r="B29" s="77"/>
      <c r="C29" s="77"/>
      <c r="D29" s="77"/>
      <c r="E29" s="80"/>
      <c r="F29" s="66" t="s">
        <v>8</v>
      </c>
      <c r="G29" s="20" t="s">
        <v>5</v>
      </c>
      <c r="H29" s="10"/>
      <c r="I29" s="34">
        <f>IFERROR(SUM(I27:I28)/I24,0)</f>
        <v>0</v>
      </c>
      <c r="J29" s="59">
        <f t="shared" ref="J29:K29" si="3">IFERROR(SUM(J27:J28)/J24,0)</f>
        <v>0</v>
      </c>
      <c r="K29" s="59">
        <f t="shared" si="3"/>
        <v>0</v>
      </c>
    </row>
    <row r="30" spans="1:11" x14ac:dyDescent="0.25">
      <c r="A30" s="77"/>
      <c r="B30" s="77"/>
      <c r="C30" s="77"/>
      <c r="D30" s="77"/>
      <c r="E30" s="80"/>
      <c r="F30" s="65" t="s">
        <v>21</v>
      </c>
      <c r="G30" s="6" t="s">
        <v>6</v>
      </c>
      <c r="H30" s="45"/>
      <c r="I30" s="28">
        <f>SUM(J30:INDEX(30:30, MATCH("яяя", 1:1, 1)))</f>
        <v>0</v>
      </c>
      <c r="J30" s="55"/>
      <c r="K30" s="55"/>
    </row>
    <row r="31" spans="1:11" x14ac:dyDescent="0.25">
      <c r="A31" s="77"/>
      <c r="B31" s="77"/>
      <c r="C31" s="77"/>
      <c r="D31" s="77"/>
      <c r="E31" s="80"/>
      <c r="F31" s="65" t="s">
        <v>22</v>
      </c>
      <c r="G31" s="6" t="s">
        <v>6</v>
      </c>
      <c r="H31" s="45"/>
      <c r="I31" s="28">
        <f>SUM(J31:INDEX(31:31, MATCH("яяя", 1:1, 1)))</f>
        <v>0</v>
      </c>
      <c r="J31" s="55"/>
      <c r="K31" s="55"/>
    </row>
    <row r="32" spans="1:11" ht="15.75" thickBot="1" x14ac:dyDescent="0.3">
      <c r="A32" s="78"/>
      <c r="B32" s="78"/>
      <c r="C32" s="78"/>
      <c r="D32" s="78"/>
      <c r="E32" s="81"/>
      <c r="F32" s="67" t="s">
        <v>9</v>
      </c>
      <c r="G32" s="35" t="s">
        <v>5</v>
      </c>
      <c r="H32" s="43"/>
      <c r="I32" s="37">
        <f t="shared" ref="I32" si="4">IFERROR(SUM(I30:I31)/I24,0)</f>
        <v>0</v>
      </c>
      <c r="J32" s="60">
        <f t="shared" ref="J32:K32" si="5">IFERROR(SUM(J30:J31)/J24,0)</f>
        <v>0</v>
      </c>
      <c r="K32" s="60">
        <f t="shared" si="5"/>
        <v>0</v>
      </c>
    </row>
    <row r="35" spans="1:17" x14ac:dyDescent="0.25">
      <c r="A35"/>
      <c r="B35" s="1"/>
      <c r="C35" s="1"/>
      <c r="D35" s="1"/>
      <c r="E35" s="1"/>
      <c r="L35" s="26"/>
      <c r="M35" s="1"/>
      <c r="N35" s="1"/>
      <c r="O35" s="1"/>
      <c r="P35" s="1"/>
      <c r="Q35" s="1"/>
    </row>
  </sheetData>
  <mergeCells count="11">
    <mergeCell ref="A1:G1"/>
    <mergeCell ref="H1:I1"/>
    <mergeCell ref="A3:A32"/>
    <mergeCell ref="B3:B32"/>
    <mergeCell ref="C3:C32"/>
    <mergeCell ref="D3:D12"/>
    <mergeCell ref="E3:E12"/>
    <mergeCell ref="D13:D22"/>
    <mergeCell ref="E13:E22"/>
    <mergeCell ref="D23:D32"/>
    <mergeCell ref="E23:E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СПК по дням</vt:lpstr>
      <vt:lpstr>СПК по КН</vt:lpstr>
      <vt:lpstr>СПК по месяцам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Лакич Милан</dc:creator>
  <cp:lastModifiedBy>Кузнецов Илья Сергеевич</cp:lastModifiedBy>
  <cp:lastPrinted>2025-08-08T14:40:15Z</cp:lastPrinted>
  <dcterms:created xsi:type="dcterms:W3CDTF">2025-08-08T07:18:00Z</dcterms:created>
  <dcterms:modified xsi:type="dcterms:W3CDTF">2026-08-11T02:09:14Z</dcterms:modified>
</cp:coreProperties>
</file>